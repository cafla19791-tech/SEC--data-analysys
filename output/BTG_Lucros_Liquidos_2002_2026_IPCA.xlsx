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ie_completa" sheetId="1" state="visible" r:id="rId1"/>
    <sheet name="Visao_R$bi" sheetId="2" state="visible" r:id="rId2"/>
    <sheet name="Grafico_dados" sheetId="3" state="visible" r:id="rId3"/>
    <sheet name="Resumo" sheetId="4" state="visible" r:id="rId4"/>
    <sheet name="Fatores_IPCA" sheetId="5" state="visible" r:id="rId5"/>
    <sheet name="NOTAS_e_FON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444444"/>
      <sz val="10"/>
    </font>
    <font>
      <color rgb="000B3D2E"/>
      <sz val="10"/>
    </font>
    <font>
      <b val="1"/>
      <color rgb="00FFFFFF"/>
      <sz val="12"/>
    </font>
    <font>
      <b val="1"/>
      <color rgb="000B3D2E"/>
      <sz val="12"/>
    </font>
  </fonts>
  <fills count="4">
    <fill>
      <patternFill/>
    </fill>
    <fill>
      <patternFill patternType="gray125"/>
    </fill>
    <fill>
      <patternFill patternType="solid">
        <fgColor rgb="000B3D2E"/>
      </patternFill>
    </fill>
    <fill>
      <patternFill patternType="solid">
        <fgColor rgb="00F3F7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BTG Pactual — Lucro líquido (R$ bi)</a:t>
            </a:r>
          </a:p>
        </rich>
      </tx>
    </title>
    <plotArea>
      <lineChart>
        <grouping val="standard"/>
        <ser>
          <idx val="0"/>
          <order val="0"/>
          <tx>
            <strRef>
              <f>'Grafico_dados'!B1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'Grafico_dados'!$A$2:$A$17</f>
            </numRef>
          </cat>
          <val>
            <numRef>
              <f>'Grafico_dados'!$B$2:$B$17</f>
            </numRef>
          </val>
        </ser>
        <ser>
          <idx val="1"/>
          <order val="1"/>
          <tx>
            <strRef>
              <f>'Grafico_dados'!C1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'Grafico_dados'!$A$2:$A$17</f>
            </numRef>
          </cat>
          <val>
            <numRef>
              <f>'Grafico_dados'!$C$2:$C$17</f>
            </numRef>
          </val>
        </ser>
        <ser>
          <idx val="2"/>
          <order val="2"/>
          <tx>
            <strRef>
              <f>'Grafico_dados'!D1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'Grafico_dados'!$A$2:$A$17</f>
            </numRef>
          </cat>
          <val>
            <numRef>
              <f>'Grafico_dados'!$D$2:$D$17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 bilhões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22" customWidth="1" min="4" max="4"/>
    <col width="22" customWidth="1" min="5" max="5"/>
    <col width="14" customWidth="1" min="6" max="6"/>
    <col width="16" customWidth="1" min="7" max="7"/>
    <col width="22" customWidth="1" min="8" max="8"/>
    <col width="24" customWidth="1" min="9" max="9"/>
    <col width="55" customWidth="1" min="10" max="10"/>
  </cols>
  <sheetData>
    <row r="1">
      <c r="A1" s="1" t="inlineStr">
        <is>
          <t>BTG Pactual — Lucro líquido histórico (2002–2026)</t>
        </is>
      </c>
    </row>
    <row r="2">
      <c r="A2" s="2" t="inlineStr">
        <is>
          <t>Contábil e Ajustado/Combinado (RI) | Atualização IPCA até jul/2026 | Fonte: earnings releases RI / CVM</t>
        </is>
      </c>
    </row>
    <row r="3">
      <c r="A3" s="3" t="inlineStr">
        <is>
          <t>Existia bem antes de 2020: marca BTG Pactual desde 2009 (aquisição do UBS Pactual); IPO em abr/2012. Antes: Banco Pactual (até 2006) e UBS Pactual (2006–2009).</t>
        </is>
      </c>
    </row>
    <row r="5" ht="36" customHeight="1">
      <c r="A5" s="4" t="inlineStr">
        <is>
          <t>Ano</t>
        </is>
      </c>
      <c r="B5" s="4" t="inlineStr">
        <is>
          <t>Contábil (R$ mi)</t>
        </is>
      </c>
      <c r="C5" s="4" t="inlineStr">
        <is>
          <t>Contábil (R$ bi)</t>
        </is>
      </c>
      <c r="D5" s="4" t="inlineStr">
        <is>
          <t>Ajustado/Combinado (R$ mi)</t>
        </is>
      </c>
      <c r="E5" s="4" t="inlineStr">
        <is>
          <t>Ajustado/Combinado (R$ bi)</t>
        </is>
      </c>
      <c r="F5" s="4" t="inlineStr">
        <is>
          <t>IPCA dez/ano</t>
        </is>
      </c>
      <c r="G5" s="4" t="inlineStr">
        <is>
          <t>Fator até jul/2026</t>
        </is>
      </c>
      <c r="H5" s="4" t="inlineStr">
        <is>
          <t>Contábil IPCA jul/2026 (R$ bi)</t>
        </is>
      </c>
      <c r="I5" s="4" t="inlineStr">
        <is>
          <t>Ajustado IPCA jul/2026 (R$ bi)</t>
        </is>
      </c>
      <c r="J5" s="4" t="inlineStr">
        <is>
          <t>Fonte</t>
        </is>
      </c>
    </row>
    <row r="6">
      <c r="A6" s="5" t="n">
        <v>2002</v>
      </c>
      <c r="B6" s="5" t="inlineStr">
        <is>
          <t>—</t>
        </is>
      </c>
      <c r="C6" s="5" t="inlineStr">
        <is>
          <t>—</t>
        </is>
      </c>
      <c r="D6" s="5" t="inlineStr">
        <is>
          <t>—</t>
        </is>
      </c>
      <c r="E6" s="5" t="inlineStr">
        <is>
          <t>—</t>
        </is>
      </c>
      <c r="F6" s="5" t="n">
        <v>2039.78</v>
      </c>
      <c r="G6" s="5" t="n">
        <v>3.754194</v>
      </c>
      <c r="H6" s="5" t="inlineStr">
        <is>
          <t>—</t>
        </is>
      </c>
      <c r="I6" s="5" t="inlineStr">
        <is>
          <t>—</t>
        </is>
      </c>
      <c r="J6" s="5" t="inlineStr">
        <is>
          <t>—</t>
        </is>
      </c>
    </row>
    <row r="7">
      <c r="A7" s="6" t="n">
        <v>2003</v>
      </c>
      <c r="B7" s="6" t="inlineStr">
        <is>
          <t>—</t>
        </is>
      </c>
      <c r="C7" s="6" t="inlineStr">
        <is>
          <t>—</t>
        </is>
      </c>
      <c r="D7" s="6" t="inlineStr">
        <is>
          <t>—</t>
        </is>
      </c>
      <c r="E7" s="6" t="inlineStr">
        <is>
          <t>—</t>
        </is>
      </c>
      <c r="F7" s="6" t="n">
        <v>2229.49</v>
      </c>
      <c r="G7" s="6" t="n">
        <v>3.434745</v>
      </c>
      <c r="H7" s="6" t="inlineStr">
        <is>
          <t>—</t>
        </is>
      </c>
      <c r="I7" s="6" t="inlineStr">
        <is>
          <t>—</t>
        </is>
      </c>
      <c r="J7" s="6" t="inlineStr">
        <is>
          <t>—</t>
        </is>
      </c>
    </row>
    <row r="8">
      <c r="A8" s="5" t="n">
        <v>2004</v>
      </c>
      <c r="B8" s="5" t="inlineStr">
        <is>
          <t>—</t>
        </is>
      </c>
      <c r="C8" s="5" t="inlineStr">
        <is>
          <t>—</t>
        </is>
      </c>
      <c r="D8" s="5" t="inlineStr">
        <is>
          <t>—</t>
        </is>
      </c>
      <c r="E8" s="5" t="inlineStr">
        <is>
          <t>—</t>
        </is>
      </c>
      <c r="F8" s="5" t="n">
        <v>2398.92</v>
      </c>
      <c r="G8" s="5" t="n">
        <v>3.192157</v>
      </c>
      <c r="H8" s="5" t="inlineStr">
        <is>
          <t>—</t>
        </is>
      </c>
      <c r="I8" s="5" t="inlineStr">
        <is>
          <t>—</t>
        </is>
      </c>
      <c r="J8" s="5" t="inlineStr">
        <is>
          <t>—</t>
        </is>
      </c>
    </row>
    <row r="9">
      <c r="A9" s="6" t="n">
        <v>2005</v>
      </c>
      <c r="B9" s="6" t="inlineStr">
        <is>
          <t>—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n">
        <v>2535.4</v>
      </c>
      <c r="G9" s="6" t="n">
        <v>3.020324</v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</row>
    <row r="10">
      <c r="A10" s="5" t="n">
        <v>2006</v>
      </c>
      <c r="B10" s="5" t="inlineStr">
        <is>
          <t>—</t>
        </is>
      </c>
      <c r="C10" s="5" t="inlineStr">
        <is>
          <t>—</t>
        </is>
      </c>
      <c r="D10" s="5" t="inlineStr">
        <is>
          <t>—</t>
        </is>
      </c>
      <c r="E10" s="5" t="inlineStr">
        <is>
          <t>—</t>
        </is>
      </c>
      <c r="F10" s="5" t="n">
        <v>2615.05</v>
      </c>
      <c r="G10" s="5" t="n">
        <v>2.92833</v>
      </c>
      <c r="H10" s="5" t="inlineStr">
        <is>
          <t>—</t>
        </is>
      </c>
      <c r="I10" s="5" t="inlineStr">
        <is>
          <t>—</t>
        </is>
      </c>
      <c r="J10" s="5" t="inlineStr">
        <is>
          <t>—</t>
        </is>
      </c>
    </row>
    <row r="11">
      <c r="A11" s="6" t="n">
        <v>2007</v>
      </c>
      <c r="B11" s="6" t="inlineStr">
        <is>
          <t>—</t>
        </is>
      </c>
      <c r="C11" s="6" t="inlineStr">
        <is>
          <t>—</t>
        </is>
      </c>
      <c r="D11" s="6" t="inlineStr">
        <is>
          <t>—</t>
        </is>
      </c>
      <c r="E11" s="6" t="inlineStr">
        <is>
          <t>—</t>
        </is>
      </c>
      <c r="F11" s="6" t="n">
        <v>2731.62</v>
      </c>
      <c r="G11" s="6" t="n">
        <v>2.803366</v>
      </c>
      <c r="H11" s="6" t="inlineStr">
        <is>
          <t>—</t>
        </is>
      </c>
      <c r="I11" s="6" t="inlineStr">
        <is>
          <t>—</t>
        </is>
      </c>
      <c r="J11" s="6" t="inlineStr">
        <is>
          <t>—</t>
        </is>
      </c>
    </row>
    <row r="12">
      <c r="A12" s="5" t="n">
        <v>2008</v>
      </c>
      <c r="B12" s="5" t="inlineStr">
        <is>
          <t>—</t>
        </is>
      </c>
      <c r="C12" s="5" t="inlineStr">
        <is>
          <t>—</t>
        </is>
      </c>
      <c r="D12" s="5" t="inlineStr">
        <is>
          <t>—</t>
        </is>
      </c>
      <c r="E12" s="5" t="inlineStr">
        <is>
          <t>—</t>
        </is>
      </c>
      <c r="F12" s="5" t="n">
        <v>2892.86</v>
      </c>
      <c r="G12" s="5" t="n">
        <v>2.647114</v>
      </c>
      <c r="H12" s="5" t="inlineStr">
        <is>
          <t>—</t>
        </is>
      </c>
      <c r="I12" s="5" t="inlineStr">
        <is>
          <t>—</t>
        </is>
      </c>
      <c r="J12" s="5" t="inlineStr">
        <is>
          <t>—</t>
        </is>
      </c>
    </row>
    <row r="13">
      <c r="A13" s="6" t="n">
        <v>2009</v>
      </c>
      <c r="B13" s="6" t="inlineStr">
        <is>
          <t>—</t>
        </is>
      </c>
      <c r="C13" s="6" t="inlineStr">
        <is>
          <t>—</t>
        </is>
      </c>
      <c r="D13" s="6" t="n">
        <v>1300</v>
      </c>
      <c r="E13" s="6" t="n">
        <v>1.3</v>
      </c>
      <c r="F13" s="6" t="n">
        <v>3017.59</v>
      </c>
      <c r="G13" s="6" t="n">
        <v>2.537697</v>
      </c>
      <c r="H13" s="6" t="inlineStr">
        <is>
          <t>—</t>
        </is>
      </c>
      <c r="I13" s="6" t="n">
        <v>3.299</v>
      </c>
      <c r="J13" s="6" t="inlineStr">
        <is>
          <t>Wikipedia / RI histórico (~R$ 1,3 bi)</t>
        </is>
      </c>
    </row>
    <row r="14">
      <c r="A14" s="5" t="n">
        <v>2010</v>
      </c>
      <c r="B14" s="5" t="inlineStr">
        <is>
          <t>—</t>
        </is>
      </c>
      <c r="C14" s="5" t="inlineStr">
        <is>
          <t>—</t>
        </is>
      </c>
      <c r="D14" s="5" t="inlineStr">
        <is>
          <t>—</t>
        </is>
      </c>
      <c r="E14" s="5" t="inlineStr">
        <is>
          <t>—</t>
        </is>
      </c>
      <c r="F14" s="5" t="n">
        <v>3195.89</v>
      </c>
      <c r="G14" s="5" t="n">
        <v>2.396118</v>
      </c>
      <c r="H14" s="5" t="inlineStr">
        <is>
          <t>—</t>
        </is>
      </c>
      <c r="I14" s="5" t="inlineStr">
        <is>
          <t>—</t>
        </is>
      </c>
      <c r="J14" s="5" t="inlineStr">
        <is>
          <t>—</t>
        </is>
      </c>
    </row>
    <row r="15">
      <c r="A15" s="6" t="n">
        <v>2011</v>
      </c>
      <c r="B15" s="6" t="n">
        <v>1922</v>
      </c>
      <c r="C15" s="6" t="n">
        <v>1.922</v>
      </c>
      <c r="D15" s="6" t="n">
        <v>1922</v>
      </c>
      <c r="E15" s="6" t="n">
        <v>1.922</v>
      </c>
      <c r="F15" s="6" t="n">
        <v>3403.73</v>
      </c>
      <c r="G15" s="6" t="n">
        <v>2.249805</v>
      </c>
      <c r="H15" s="6" t="n">
        <v>4.324</v>
      </c>
      <c r="I15" s="6" t="n">
        <v>4.324</v>
      </c>
      <c r="J15" s="6" t="inlineStr">
        <is>
          <t>Earnings Release 4T12 (comparativo) / prospecto IPO</t>
        </is>
      </c>
    </row>
    <row r="16">
      <c r="A16" s="5" t="n">
        <v>2012</v>
      </c>
      <c r="B16" s="5" t="n">
        <v>3255.6</v>
      </c>
      <c r="C16" s="5" t="n">
        <v>3.256</v>
      </c>
      <c r="D16" s="5" t="n">
        <v>3255.6</v>
      </c>
      <c r="E16" s="5" t="n">
        <v>3.256</v>
      </c>
      <c r="F16" s="5" t="n">
        <v>3602.46</v>
      </c>
      <c r="G16" s="5" t="n">
        <v>2.125695</v>
      </c>
      <c r="H16" s="5" t="n">
        <v>6.921</v>
      </c>
      <c r="I16" s="5" t="n">
        <v>6.921</v>
      </c>
      <c r="J16" s="5" t="inlineStr">
        <is>
          <t>Earnings Release 4T12</t>
        </is>
      </c>
    </row>
    <row r="17">
      <c r="A17" s="6" t="n">
        <v>2013</v>
      </c>
      <c r="B17" s="6" t="n">
        <v>2775.4</v>
      </c>
      <c r="C17" s="6" t="n">
        <v>2.775</v>
      </c>
      <c r="D17" s="6" t="n">
        <v>2775.4</v>
      </c>
      <c r="E17" s="6" t="n">
        <v>2.775</v>
      </c>
      <c r="F17" s="6" t="n">
        <v>3815.39</v>
      </c>
      <c r="G17" s="6" t="n">
        <v>2.007063</v>
      </c>
      <c r="H17" s="6" t="n">
        <v>5.57</v>
      </c>
      <c r="I17" s="6" t="n">
        <v>5.57</v>
      </c>
      <c r="J17" s="6" t="inlineStr">
        <is>
          <t>Earnings Release 4T13</t>
        </is>
      </c>
    </row>
    <row r="18">
      <c r="A18" s="5" t="n">
        <v>2014</v>
      </c>
      <c r="B18" s="5" t="n">
        <v>3411</v>
      </c>
      <c r="C18" s="5" t="n">
        <v>3.411</v>
      </c>
      <c r="D18" s="5" t="n">
        <v>3411</v>
      </c>
      <c r="E18" s="5" t="n">
        <v>3.411</v>
      </c>
      <c r="F18" s="5" t="n">
        <v>4059.86</v>
      </c>
      <c r="G18" s="5" t="n">
        <v>1.886205</v>
      </c>
      <c r="H18" s="5" t="n">
        <v>6.434</v>
      </c>
      <c r="I18" s="5" t="n">
        <v>6.434</v>
      </c>
      <c r="J18" s="5" t="inlineStr">
        <is>
          <t>Earnings Release 4T15 (comparativo 2014)</t>
        </is>
      </c>
    </row>
    <row r="19">
      <c r="A19" s="6" t="n">
        <v>2015</v>
      </c>
      <c r="B19" s="6" t="n">
        <v>4616</v>
      </c>
      <c r="C19" s="6" t="n">
        <v>4.616</v>
      </c>
      <c r="D19" s="6" t="n">
        <v>4616</v>
      </c>
      <c r="E19" s="6" t="n">
        <v>4.616</v>
      </c>
      <c r="F19" s="6" t="n">
        <v>4493.17</v>
      </c>
      <c r="G19" s="6" t="n">
        <v>1.704305</v>
      </c>
      <c r="H19" s="6" t="n">
        <v>7.867</v>
      </c>
      <c r="I19" s="6" t="n">
        <v>7.867</v>
      </c>
      <c r="J19" s="6" t="inlineStr">
        <is>
          <t>Earnings Release 4T15</t>
        </is>
      </c>
    </row>
    <row r="20">
      <c r="A20" s="5" t="n">
        <v>2016</v>
      </c>
      <c r="B20" s="5" t="n">
        <v>3324.7</v>
      </c>
      <c r="C20" s="5" t="n">
        <v>3.325</v>
      </c>
      <c r="D20" s="5" t="n">
        <v>3324.7</v>
      </c>
      <c r="E20" s="5" t="n">
        <v>3.325</v>
      </c>
      <c r="F20" s="5" t="n">
        <v>4775.7</v>
      </c>
      <c r="G20" s="5" t="n">
        <v>1.603478</v>
      </c>
      <c r="H20" s="5" t="n">
        <v>5.332</v>
      </c>
      <c r="I20" s="5" t="n">
        <v>5.332</v>
      </c>
      <c r="J20" s="5" t="inlineStr">
        <is>
          <t>Earnings Release 4T16</t>
        </is>
      </c>
    </row>
    <row r="21">
      <c r="A21" s="6" t="n">
        <v>2017</v>
      </c>
      <c r="B21" s="6" t="n">
        <v>2384</v>
      </c>
      <c r="C21" s="6" t="n">
        <v>2.384</v>
      </c>
      <c r="D21" s="6" t="n">
        <v>2949</v>
      </c>
      <c r="E21" s="6" t="n">
        <v>2.949</v>
      </c>
      <c r="F21" s="6" t="n">
        <v>4916.46</v>
      </c>
      <c r="G21" s="6" t="n">
        <v>1.55757</v>
      </c>
      <c r="H21" s="6" t="n">
        <v>3.713</v>
      </c>
      <c r="I21" s="6" t="n">
        <v>4.593</v>
      </c>
      <c r="J21" s="6" t="inlineStr">
        <is>
          <t>Earnings Release 4T18 (comparativo 2017)</t>
        </is>
      </c>
    </row>
    <row r="22">
      <c r="A22" s="5" t="n">
        <v>2018</v>
      </c>
      <c r="B22" s="5" t="n">
        <v>2361</v>
      </c>
      <c r="C22" s="5" t="n">
        <v>2.361</v>
      </c>
      <c r="D22" s="5" t="n">
        <v>2740.9</v>
      </c>
      <c r="E22" s="5" t="n">
        <v>2.741</v>
      </c>
      <c r="F22" s="5" t="n">
        <v>5100.61</v>
      </c>
      <c r="G22" s="5" t="n">
        <v>1.501336</v>
      </c>
      <c r="H22" s="5" t="n">
        <v>3.545</v>
      </c>
      <c r="I22" s="5" t="n">
        <v>4.115</v>
      </c>
      <c r="J22" s="5" t="inlineStr">
        <is>
          <t>Earnings Release 4T18</t>
        </is>
      </c>
    </row>
    <row r="23">
      <c r="A23" s="6" t="n">
        <v>2019</v>
      </c>
      <c r="B23" s="6" t="n">
        <v>3828</v>
      </c>
      <c r="C23" s="6" t="n">
        <v>3.828</v>
      </c>
      <c r="D23" s="6" t="n">
        <v>3833.3</v>
      </c>
      <c r="E23" s="6" t="n">
        <v>3.833</v>
      </c>
      <c r="F23" s="6" t="n">
        <v>5320.25</v>
      </c>
      <c r="G23" s="6" t="n">
        <v>1.439355</v>
      </c>
      <c r="H23" s="6" t="n">
        <v>5.51</v>
      </c>
      <c r="I23" s="6" t="n">
        <v>5.517</v>
      </c>
      <c r="J23" s="6" t="inlineStr">
        <is>
          <t>Earnings Release 4T19 (CVM/IPE)</t>
        </is>
      </c>
    </row>
    <row r="24">
      <c r="A24" s="5" t="n">
        <v>2020</v>
      </c>
      <c r="B24" s="5" t="n">
        <v>3976</v>
      </c>
      <c r="C24" s="5" t="n">
        <v>3.976</v>
      </c>
      <c r="D24" s="5" t="n">
        <v>4050</v>
      </c>
      <c r="E24" s="5" t="n">
        <v>4.05</v>
      </c>
      <c r="F24" s="5" t="n">
        <v>5560.59</v>
      </c>
      <c r="G24" s="5" t="n">
        <v>1.377143</v>
      </c>
      <c r="H24" s="5" t="n">
        <v>5.476</v>
      </c>
      <c r="I24" s="5" t="n">
        <v>5.577</v>
      </c>
      <c r="J24" s="5" t="inlineStr">
        <is>
          <t>Earnings Release 4T21 (comparativo 2020)</t>
        </is>
      </c>
    </row>
    <row r="25">
      <c r="A25" s="6" t="n">
        <v>2021</v>
      </c>
      <c r="B25" s="6" t="n">
        <v>6342</v>
      </c>
      <c r="C25" s="6" t="n">
        <v>6.342</v>
      </c>
      <c r="D25" s="6" t="n">
        <v>6493</v>
      </c>
      <c r="E25" s="6" t="n">
        <v>6.493</v>
      </c>
      <c r="F25" s="6" t="n">
        <v>6120.04</v>
      </c>
      <c r="G25" s="6" t="n">
        <v>1.251255</v>
      </c>
      <c r="H25" s="6" t="n">
        <v>7.935</v>
      </c>
      <c r="I25" s="6" t="n">
        <v>8.124000000000001</v>
      </c>
      <c r="J25" s="6" t="inlineStr">
        <is>
          <t>Earnings Release 4T21</t>
        </is>
      </c>
    </row>
    <row r="26">
      <c r="A26" s="5" t="n">
        <v>2022</v>
      </c>
      <c r="B26" s="5" t="n">
        <v>7841.8</v>
      </c>
      <c r="C26" s="5" t="n">
        <v>7.842</v>
      </c>
      <c r="D26" s="5" t="n">
        <v>8306.5</v>
      </c>
      <c r="E26" s="5" t="n">
        <v>8.305999999999999</v>
      </c>
      <c r="F26" s="5" t="n">
        <v>6474.09</v>
      </c>
      <c r="G26" s="5" t="n">
        <v>1.182827</v>
      </c>
      <c r="H26" s="5" t="n">
        <v>9.276</v>
      </c>
      <c r="I26" s="5" t="n">
        <v>9.824999999999999</v>
      </c>
      <c r="J26" s="5" t="inlineStr">
        <is>
          <t>Earnings Release 4T22</t>
        </is>
      </c>
    </row>
    <row r="27">
      <c r="A27" s="6" t="n">
        <v>2023</v>
      </c>
      <c r="B27" s="6" t="n">
        <v>9925</v>
      </c>
      <c r="C27" s="6" t="n">
        <v>9.925000000000001</v>
      </c>
      <c r="D27" s="6" t="n">
        <v>10419</v>
      </c>
      <c r="E27" s="6" t="n">
        <v>10.419</v>
      </c>
      <c r="F27" s="6" t="n">
        <v>6773.27</v>
      </c>
      <c r="G27" s="6" t="n">
        <v>1.130581</v>
      </c>
      <c r="H27" s="6" t="n">
        <v>11.221</v>
      </c>
      <c r="I27" s="6" t="n">
        <v>11.78</v>
      </c>
      <c r="J27" s="6" t="inlineStr">
        <is>
          <t>Earnings Release 4T24 (comparativo 2023)</t>
        </is>
      </c>
    </row>
    <row r="28">
      <c r="A28" s="5" t="n">
        <v>2024</v>
      </c>
      <c r="B28" s="5" t="n">
        <v>11789.4</v>
      </c>
      <c r="C28" s="5" t="n">
        <v>11.789</v>
      </c>
      <c r="D28" s="5" t="n">
        <v>12321.5</v>
      </c>
      <c r="E28" s="5" t="n">
        <v>12.322</v>
      </c>
      <c r="F28" s="5" t="n">
        <v>7100.5</v>
      </c>
      <c r="G28" s="5" t="n">
        <v>1.078478</v>
      </c>
      <c r="H28" s="5" t="n">
        <v>12.714</v>
      </c>
      <c r="I28" s="5" t="n">
        <v>13.289</v>
      </c>
      <c r="J28" s="5" t="inlineStr">
        <is>
          <t>Earnings Release 4T24</t>
        </is>
      </c>
    </row>
    <row r="29">
      <c r="A29" s="6" t="n">
        <v>2025</v>
      </c>
      <c r="B29" s="6" t="n">
        <v>15947.1</v>
      </c>
      <c r="C29" s="6" t="n">
        <v>15.947</v>
      </c>
      <c r="D29" s="6" t="n">
        <v>16684.8</v>
      </c>
      <c r="E29" s="6" t="n">
        <v>16.685</v>
      </c>
      <c r="F29" s="6" t="n">
        <v>7403.29</v>
      </c>
      <c r="G29" s="6" t="n">
        <v>1.034369</v>
      </c>
      <c r="H29" s="6" t="n">
        <v>16.495</v>
      </c>
      <c r="I29" s="6" t="n">
        <v>17.258</v>
      </c>
      <c r="J29" s="6" t="inlineStr">
        <is>
          <t>Earnings Release 4T25</t>
        </is>
      </c>
    </row>
    <row r="30">
      <c r="A30" s="5" t="n">
        <v>2026</v>
      </c>
      <c r="B30" s="5" t="inlineStr">
        <is>
          <t>—</t>
        </is>
      </c>
      <c r="C30" s="5" t="inlineStr">
        <is>
          <t>—</t>
        </is>
      </c>
      <c r="D30" s="5" t="inlineStr">
        <is>
          <t>—</t>
        </is>
      </c>
      <c r="E30" s="5" t="inlineStr">
        <is>
          <t>—</t>
        </is>
      </c>
      <c r="F30" s="5" t="inlineStr">
        <is>
          <t>—</t>
        </is>
      </c>
      <c r="G30" s="5" t="inlineStr">
        <is>
          <t>—</t>
        </is>
      </c>
      <c r="H30" s="5" t="inlineStr">
        <is>
          <t>—</t>
        </is>
      </c>
      <c r="I30" s="5" t="inlineStr">
        <is>
          <t>—</t>
        </is>
      </c>
      <c r="J30" s="5" t="inlineStr">
        <is>
          <t>—</t>
        </is>
      </c>
    </row>
  </sheetData>
  <mergeCells count="1">
    <mergeCell ref="A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4" customWidth="1" min="3" max="3"/>
    <col width="24" customWidth="1" min="4" max="4"/>
    <col width="26" customWidth="1" min="5" max="5"/>
    <col width="26" customWidth="1" min="6" max="6"/>
  </cols>
  <sheetData>
    <row r="1">
      <c r="A1" s="1" t="inlineStr">
        <is>
          <t>Visão em R$ bilhões — corrente × IPCA jul/2026</t>
        </is>
      </c>
    </row>
    <row r="2">
      <c r="A2" s="2" t="inlineStr">
        <is>
          <t>Série usada na comparativa entre bancos = CONTÁBIL (quando existe); senão combinado RI</t>
        </is>
      </c>
    </row>
    <row r="4">
      <c r="A4" s="4" t="inlineStr">
        <is>
          <t>Ano</t>
        </is>
      </c>
      <c r="B4" s="4" t="inlineStr">
        <is>
          <t>Contábil (R$ bi)</t>
        </is>
      </c>
      <c r="C4" s="4" t="inlineStr">
        <is>
          <t>Ajustado/Combinado (R$ bi)</t>
        </is>
      </c>
      <c r="D4" s="4" t="inlineStr">
        <is>
          <t>Contábil IPCA jul/2026 (R$ bi)</t>
        </is>
      </c>
      <c r="E4" s="4" t="inlineStr">
        <is>
          <t>Ajustado IPCA jul/2026 (R$ bi)</t>
        </is>
      </c>
      <c r="F4" s="4" t="inlineStr">
        <is>
          <t>Usado na comparativa (R$ bi)</t>
        </is>
      </c>
    </row>
    <row r="5">
      <c r="A5" s="7" t="n">
        <v>2002</v>
      </c>
      <c r="B5" s="7" t="inlineStr">
        <is>
          <t>—</t>
        </is>
      </c>
      <c r="C5" s="7" t="inlineStr">
        <is>
          <t>—</t>
        </is>
      </c>
      <c r="D5" s="7" t="inlineStr">
        <is>
          <t>—</t>
        </is>
      </c>
      <c r="E5" s="7" t="inlineStr">
        <is>
          <t>—</t>
        </is>
      </c>
      <c r="F5" s="7" t="inlineStr">
        <is>
          <t>—</t>
        </is>
      </c>
    </row>
    <row r="6">
      <c r="A6" s="8" t="n">
        <v>2003</v>
      </c>
      <c r="B6" s="8" t="inlineStr">
        <is>
          <t>—</t>
        </is>
      </c>
      <c r="C6" s="8" t="inlineStr">
        <is>
          <t>—</t>
        </is>
      </c>
      <c r="D6" s="8" t="inlineStr">
        <is>
          <t>—</t>
        </is>
      </c>
      <c r="E6" s="8" t="inlineStr">
        <is>
          <t>—</t>
        </is>
      </c>
      <c r="F6" s="8" t="inlineStr">
        <is>
          <t>—</t>
        </is>
      </c>
    </row>
    <row r="7">
      <c r="A7" s="7" t="n">
        <v>2004</v>
      </c>
      <c r="B7" s="7" t="inlineStr">
        <is>
          <t>—</t>
        </is>
      </c>
      <c r="C7" s="7" t="inlineStr">
        <is>
          <t>—</t>
        </is>
      </c>
      <c r="D7" s="7" t="inlineStr">
        <is>
          <t>—</t>
        </is>
      </c>
      <c r="E7" s="7" t="inlineStr">
        <is>
          <t>—</t>
        </is>
      </c>
      <c r="F7" s="7" t="inlineStr">
        <is>
          <t>—</t>
        </is>
      </c>
    </row>
    <row r="8">
      <c r="A8" s="8" t="n">
        <v>2005</v>
      </c>
      <c r="B8" s="8" t="inlineStr">
        <is>
          <t>—</t>
        </is>
      </c>
      <c r="C8" s="8" t="inlineStr">
        <is>
          <t>—</t>
        </is>
      </c>
      <c r="D8" s="8" t="inlineStr">
        <is>
          <t>—</t>
        </is>
      </c>
      <c r="E8" s="8" t="inlineStr">
        <is>
          <t>—</t>
        </is>
      </c>
      <c r="F8" s="8" t="inlineStr">
        <is>
          <t>—</t>
        </is>
      </c>
    </row>
    <row r="9">
      <c r="A9" s="7" t="n">
        <v>2006</v>
      </c>
      <c r="B9" s="7" t="inlineStr">
        <is>
          <t>—</t>
        </is>
      </c>
      <c r="C9" s="7" t="inlineStr">
        <is>
          <t>—</t>
        </is>
      </c>
      <c r="D9" s="7" t="inlineStr">
        <is>
          <t>—</t>
        </is>
      </c>
      <c r="E9" s="7" t="inlineStr">
        <is>
          <t>—</t>
        </is>
      </c>
      <c r="F9" s="7" t="inlineStr">
        <is>
          <t>—</t>
        </is>
      </c>
    </row>
    <row r="10">
      <c r="A10" s="8" t="n">
        <v>2007</v>
      </c>
      <c r="B10" s="8" t="inlineStr">
        <is>
          <t>—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</row>
    <row r="11">
      <c r="A11" s="7" t="n">
        <v>2008</v>
      </c>
      <c r="B11" s="7" t="inlineStr">
        <is>
          <t>—</t>
        </is>
      </c>
      <c r="C11" s="7" t="inlineStr">
        <is>
          <t>—</t>
        </is>
      </c>
      <c r="D11" s="7" t="inlineStr">
        <is>
          <t>—</t>
        </is>
      </c>
      <c r="E11" s="7" t="inlineStr">
        <is>
          <t>—</t>
        </is>
      </c>
      <c r="F11" s="7" t="inlineStr">
        <is>
          <t>—</t>
        </is>
      </c>
    </row>
    <row r="12">
      <c r="A12" s="8" t="n">
        <v>2009</v>
      </c>
      <c r="B12" s="8" t="inlineStr">
        <is>
          <t>—</t>
        </is>
      </c>
      <c r="C12" s="8" t="n">
        <v>1.3</v>
      </c>
      <c r="D12" s="8" t="inlineStr">
        <is>
          <t>—</t>
        </is>
      </c>
      <c r="E12" s="8" t="n">
        <v>3.299</v>
      </c>
      <c r="F12" s="8" t="n">
        <v>1.3</v>
      </c>
    </row>
    <row r="13">
      <c r="A13" s="7" t="n">
        <v>2010</v>
      </c>
      <c r="B13" s="7" t="inlineStr">
        <is>
          <t>—</t>
        </is>
      </c>
      <c r="C13" s="7" t="inlineStr">
        <is>
          <t>—</t>
        </is>
      </c>
      <c r="D13" s="7" t="inlineStr">
        <is>
          <t>—</t>
        </is>
      </c>
      <c r="E13" s="7" t="inlineStr">
        <is>
          <t>—</t>
        </is>
      </c>
      <c r="F13" s="7" t="inlineStr">
        <is>
          <t>—</t>
        </is>
      </c>
    </row>
    <row r="14">
      <c r="A14" s="8" t="n">
        <v>2011</v>
      </c>
      <c r="B14" s="8" t="n">
        <v>1.922</v>
      </c>
      <c r="C14" s="8" t="n">
        <v>1.922</v>
      </c>
      <c r="D14" s="8" t="n">
        <v>4.324</v>
      </c>
      <c r="E14" s="8" t="n">
        <v>4.324</v>
      </c>
      <c r="F14" s="8" t="n">
        <v>1.922</v>
      </c>
    </row>
    <row r="15">
      <c r="A15" s="7" t="n">
        <v>2012</v>
      </c>
      <c r="B15" s="7" t="n">
        <v>3.256</v>
      </c>
      <c r="C15" s="7" t="n">
        <v>3.256</v>
      </c>
      <c r="D15" s="7" t="n">
        <v>6.921</v>
      </c>
      <c r="E15" s="7" t="n">
        <v>6.921</v>
      </c>
      <c r="F15" s="7" t="n">
        <v>3.256</v>
      </c>
    </row>
    <row r="16">
      <c r="A16" s="8" t="n">
        <v>2013</v>
      </c>
      <c r="B16" s="8" t="n">
        <v>2.775</v>
      </c>
      <c r="C16" s="8" t="n">
        <v>2.775</v>
      </c>
      <c r="D16" s="8" t="n">
        <v>5.57</v>
      </c>
      <c r="E16" s="8" t="n">
        <v>5.57</v>
      </c>
      <c r="F16" s="8" t="n">
        <v>2.775</v>
      </c>
    </row>
    <row r="17">
      <c r="A17" s="7" t="n">
        <v>2014</v>
      </c>
      <c r="B17" s="7" t="n">
        <v>3.411</v>
      </c>
      <c r="C17" s="7" t="n">
        <v>3.411</v>
      </c>
      <c r="D17" s="7" t="n">
        <v>6.434</v>
      </c>
      <c r="E17" s="7" t="n">
        <v>6.434</v>
      </c>
      <c r="F17" s="7" t="n">
        <v>3.411</v>
      </c>
    </row>
    <row r="18">
      <c r="A18" s="8" t="n">
        <v>2015</v>
      </c>
      <c r="B18" s="8" t="n">
        <v>4.616</v>
      </c>
      <c r="C18" s="8" t="n">
        <v>4.616</v>
      </c>
      <c r="D18" s="8" t="n">
        <v>7.867</v>
      </c>
      <c r="E18" s="8" t="n">
        <v>7.867</v>
      </c>
      <c r="F18" s="8" t="n">
        <v>4.616</v>
      </c>
    </row>
    <row r="19">
      <c r="A19" s="7" t="n">
        <v>2016</v>
      </c>
      <c r="B19" s="7" t="n">
        <v>3.325</v>
      </c>
      <c r="C19" s="7" t="n">
        <v>3.325</v>
      </c>
      <c r="D19" s="7" t="n">
        <v>5.332</v>
      </c>
      <c r="E19" s="7" t="n">
        <v>5.332</v>
      </c>
      <c r="F19" s="7" t="n">
        <v>3.325</v>
      </c>
    </row>
    <row r="20">
      <c r="A20" s="8" t="n">
        <v>2017</v>
      </c>
      <c r="B20" s="8" t="n">
        <v>2.384</v>
      </c>
      <c r="C20" s="8" t="n">
        <v>2.949</v>
      </c>
      <c r="D20" s="8" t="n">
        <v>3.713</v>
      </c>
      <c r="E20" s="8" t="n">
        <v>4.593</v>
      </c>
      <c r="F20" s="8" t="n">
        <v>2.384</v>
      </c>
    </row>
    <row r="21">
      <c r="A21" s="7" t="n">
        <v>2018</v>
      </c>
      <c r="B21" s="7" t="n">
        <v>2.361</v>
      </c>
      <c r="C21" s="7" t="n">
        <v>2.741</v>
      </c>
      <c r="D21" s="7" t="n">
        <v>3.545</v>
      </c>
      <c r="E21" s="7" t="n">
        <v>4.115</v>
      </c>
      <c r="F21" s="7" t="n">
        <v>2.361</v>
      </c>
    </row>
    <row r="22">
      <c r="A22" s="8" t="n">
        <v>2019</v>
      </c>
      <c r="B22" s="8" t="n">
        <v>3.828</v>
      </c>
      <c r="C22" s="8" t="n">
        <v>3.833</v>
      </c>
      <c r="D22" s="8" t="n">
        <v>5.51</v>
      </c>
      <c r="E22" s="8" t="n">
        <v>5.517</v>
      </c>
      <c r="F22" s="8" t="n">
        <v>3.828</v>
      </c>
    </row>
    <row r="23">
      <c r="A23" s="7" t="n">
        <v>2020</v>
      </c>
      <c r="B23" s="7" t="n">
        <v>3.976</v>
      </c>
      <c r="C23" s="7" t="n">
        <v>4.05</v>
      </c>
      <c r="D23" s="7" t="n">
        <v>5.476</v>
      </c>
      <c r="E23" s="7" t="n">
        <v>5.577</v>
      </c>
      <c r="F23" s="7" t="n">
        <v>3.976</v>
      </c>
    </row>
    <row r="24">
      <c r="A24" s="8" t="n">
        <v>2021</v>
      </c>
      <c r="B24" s="8" t="n">
        <v>6.342</v>
      </c>
      <c r="C24" s="8" t="n">
        <v>6.493</v>
      </c>
      <c r="D24" s="8" t="n">
        <v>7.935</v>
      </c>
      <c r="E24" s="8" t="n">
        <v>8.124000000000001</v>
      </c>
      <c r="F24" s="8" t="n">
        <v>6.342</v>
      </c>
    </row>
    <row r="25">
      <c r="A25" s="7" t="n">
        <v>2022</v>
      </c>
      <c r="B25" s="7" t="n">
        <v>7.842</v>
      </c>
      <c r="C25" s="7" t="n">
        <v>8.305999999999999</v>
      </c>
      <c r="D25" s="7" t="n">
        <v>9.276</v>
      </c>
      <c r="E25" s="7" t="n">
        <v>9.824999999999999</v>
      </c>
      <c r="F25" s="7" t="n">
        <v>7.842</v>
      </c>
    </row>
    <row r="26">
      <c r="A26" s="8" t="n">
        <v>2023</v>
      </c>
      <c r="B26" s="8" t="n">
        <v>9.925000000000001</v>
      </c>
      <c r="C26" s="8" t="n">
        <v>10.419</v>
      </c>
      <c r="D26" s="8" t="n">
        <v>11.221</v>
      </c>
      <c r="E26" s="8" t="n">
        <v>11.78</v>
      </c>
      <c r="F26" s="8" t="n">
        <v>9.925000000000001</v>
      </c>
    </row>
    <row r="27">
      <c r="A27" s="7" t="n">
        <v>2024</v>
      </c>
      <c r="B27" s="7" t="n">
        <v>11.789</v>
      </c>
      <c r="C27" s="7" t="n">
        <v>12.322</v>
      </c>
      <c r="D27" s="7" t="n">
        <v>12.714</v>
      </c>
      <c r="E27" s="7" t="n">
        <v>13.289</v>
      </c>
      <c r="F27" s="7" t="n">
        <v>11.789</v>
      </c>
    </row>
    <row r="28">
      <c r="A28" s="8" t="n">
        <v>2025</v>
      </c>
      <c r="B28" s="8" t="n">
        <v>15.947</v>
      </c>
      <c r="C28" s="8" t="n">
        <v>16.685</v>
      </c>
      <c r="D28" s="8" t="n">
        <v>16.495</v>
      </c>
      <c r="E28" s="8" t="n">
        <v>17.258</v>
      </c>
      <c r="F28" s="8" t="n">
        <v>15.947</v>
      </c>
    </row>
    <row r="29">
      <c r="A29" s="7" t="n">
        <v>2026</v>
      </c>
      <c r="B29" s="7" t="inlineStr">
        <is>
          <t>—</t>
        </is>
      </c>
      <c r="C29" s="7" t="inlineStr">
        <is>
          <t>—</t>
        </is>
      </c>
      <c r="D29" s="7" t="inlineStr">
        <is>
          <t>—</t>
        </is>
      </c>
      <c r="E29" s="7" t="inlineStr">
        <is>
          <t>—</t>
        </is>
      </c>
      <c r="F29" s="7" t="inlineStr">
        <is>
          <t>—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Comparativo corrente R$ bi</t>
        </is>
      </c>
      <c r="C1" t="inlineStr">
        <is>
          <t>Comparativo IPCA jul/2026 R$ bi</t>
        </is>
      </c>
      <c r="D1" t="inlineStr">
        <is>
          <t>Ajustado/Combinado corrente R$ bi</t>
        </is>
      </c>
    </row>
    <row r="2">
      <c r="A2" t="n">
        <v>2009</v>
      </c>
      <c r="B2" t="n">
        <v>1.3</v>
      </c>
      <c r="C2" t="n">
        <v>3.299</v>
      </c>
      <c r="D2" t="n">
        <v>1.3</v>
      </c>
    </row>
    <row r="3">
      <c r="A3" t="n">
        <v>2011</v>
      </c>
      <c r="B3" t="n">
        <v>1.922</v>
      </c>
      <c r="C3" t="n">
        <v>4.324</v>
      </c>
      <c r="D3" t="n">
        <v>1.922</v>
      </c>
    </row>
    <row r="4">
      <c r="A4" t="n">
        <v>2012</v>
      </c>
      <c r="B4" t="n">
        <v>3.256</v>
      </c>
      <c r="C4" t="n">
        <v>6.921</v>
      </c>
      <c r="D4" t="n">
        <v>3.256</v>
      </c>
    </row>
    <row r="5">
      <c r="A5" t="n">
        <v>2013</v>
      </c>
      <c r="B5" t="n">
        <v>2.775</v>
      </c>
      <c r="C5" t="n">
        <v>5.57</v>
      </c>
      <c r="D5" t="n">
        <v>2.775</v>
      </c>
    </row>
    <row r="6">
      <c r="A6" t="n">
        <v>2014</v>
      </c>
      <c r="B6" t="n">
        <v>3.411</v>
      </c>
      <c r="C6" t="n">
        <v>6.434</v>
      </c>
      <c r="D6" t="n">
        <v>3.411</v>
      </c>
    </row>
    <row r="7">
      <c r="A7" t="n">
        <v>2015</v>
      </c>
      <c r="B7" t="n">
        <v>4.616</v>
      </c>
      <c r="C7" t="n">
        <v>7.867</v>
      </c>
      <c r="D7" t="n">
        <v>4.616</v>
      </c>
    </row>
    <row r="8">
      <c r="A8" t="n">
        <v>2016</v>
      </c>
      <c r="B8" t="n">
        <v>3.325</v>
      </c>
      <c r="C8" t="n">
        <v>5.332</v>
      </c>
      <c r="D8" t="n">
        <v>3.325</v>
      </c>
    </row>
    <row r="9">
      <c r="A9" t="n">
        <v>2017</v>
      </c>
      <c r="B9" t="n">
        <v>2.384</v>
      </c>
      <c r="C9" t="n">
        <v>3.713</v>
      </c>
      <c r="D9" t="n">
        <v>2.949</v>
      </c>
    </row>
    <row r="10">
      <c r="A10" t="n">
        <v>2018</v>
      </c>
      <c r="B10" t="n">
        <v>2.361</v>
      </c>
      <c r="C10" t="n">
        <v>3.545</v>
      </c>
      <c r="D10" t="n">
        <v>2.741</v>
      </c>
    </row>
    <row r="11">
      <c r="A11" t="n">
        <v>2019</v>
      </c>
      <c r="B11" t="n">
        <v>3.828</v>
      </c>
      <c r="C11" t="n">
        <v>5.51</v>
      </c>
      <c r="D11" t="n">
        <v>3.833</v>
      </c>
    </row>
    <row r="12">
      <c r="A12" t="n">
        <v>2020</v>
      </c>
      <c r="B12" t="n">
        <v>3.976</v>
      </c>
      <c r="C12" t="n">
        <v>5.476</v>
      </c>
      <c r="D12" t="n">
        <v>4.05</v>
      </c>
    </row>
    <row r="13">
      <c r="A13" t="n">
        <v>2021</v>
      </c>
      <c r="B13" t="n">
        <v>6.342</v>
      </c>
      <c r="C13" t="n">
        <v>7.935</v>
      </c>
      <c r="D13" t="n">
        <v>6.493</v>
      </c>
    </row>
    <row r="14">
      <c r="A14" t="n">
        <v>2022</v>
      </c>
      <c r="B14" t="n">
        <v>7.842</v>
      </c>
      <c r="C14" t="n">
        <v>9.276</v>
      </c>
      <c r="D14" t="n">
        <v>8.305999999999999</v>
      </c>
    </row>
    <row r="15">
      <c r="A15" t="n">
        <v>2023</v>
      </c>
      <c r="B15" t="n">
        <v>9.925000000000001</v>
      </c>
      <c r="C15" t="n">
        <v>11.221</v>
      </c>
      <c r="D15" t="n">
        <v>10.419</v>
      </c>
    </row>
    <row r="16">
      <c r="A16" t="n">
        <v>2024</v>
      </c>
      <c r="B16" t="n">
        <v>11.789</v>
      </c>
      <c r="C16" t="n">
        <v>12.714</v>
      </c>
      <c r="D16" t="n">
        <v>12.322</v>
      </c>
    </row>
    <row r="17">
      <c r="A17" t="n">
        <v>2025</v>
      </c>
      <c r="B17" t="n">
        <v>15.947</v>
      </c>
      <c r="C17" t="n">
        <v>16.495</v>
      </c>
      <c r="D17" t="n">
        <v>16.685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</cols>
  <sheetData>
    <row r="1">
      <c r="A1" s="1" t="inlineStr">
        <is>
          <t>Resumo BTG Pactual</t>
        </is>
      </c>
    </row>
    <row r="2">
      <c r="A2" t="inlineStr">
        <is>
          <t>Totais e contexto societário</t>
        </is>
      </c>
    </row>
    <row r="4">
      <c r="A4" s="9" t="inlineStr">
        <is>
          <t>Indicador</t>
        </is>
      </c>
      <c r="B4" s="9" t="inlineStr">
        <is>
          <t>Valor</t>
        </is>
      </c>
    </row>
    <row r="5">
      <c r="A5" t="inlineStr">
        <is>
          <t>Marca BTG Pactual desde</t>
        </is>
      </c>
      <c r="B5" t="inlineStr">
        <is>
          <t>2009 (aquisição do UBS Pactual)</t>
        </is>
      </c>
    </row>
    <row r="6">
      <c r="A6" t="inlineStr">
        <is>
          <t>IPO B3</t>
        </is>
      </c>
      <c r="B6" t="inlineStr">
        <is>
          <t>Abril/2012 (units BPAC11 / antigo BBTG11)</t>
        </is>
      </c>
    </row>
    <row r="7">
      <c r="A7" t="inlineStr">
        <is>
          <t>Anos com dado na série (2009–2025)</t>
        </is>
      </c>
      <c r="B7" t="n">
        <v>16</v>
      </c>
    </row>
    <row r="8">
      <c r="A8" t="inlineStr">
        <is>
          <t>Soma comparativa 2011–2025 (R$ bi correntes)</t>
        </is>
      </c>
      <c r="B8" t="n">
        <v>83.699</v>
      </c>
    </row>
    <row r="9">
      <c r="A9" t="inlineStr">
        <is>
          <t>Soma comparativa 2011–2025 (R$ bi IPCA jul/2026)</t>
        </is>
      </c>
      <c r="B9" t="n">
        <v>112.333</v>
      </c>
    </row>
    <row r="10">
      <c r="A10" t="inlineStr">
        <is>
          <t>Lucro contábil 2025 (R$ bi)</t>
        </is>
      </c>
      <c r="B10" t="n">
        <v>15.947</v>
      </c>
    </row>
    <row r="11">
      <c r="A11" t="inlineStr">
        <is>
          <t>Lucro ajustado 2025 (R$ bi)</t>
        </is>
      </c>
      <c r="B11" t="n">
        <v>16.685</v>
      </c>
    </row>
    <row r="12">
      <c r="A12" t="inlineStr">
        <is>
          <t>Lucro contábil 2020 (R$ bi)</t>
        </is>
      </c>
      <c r="B12" t="n">
        <v>3.976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</cols>
  <sheetData>
    <row r="1">
      <c r="A1" t="inlineStr">
        <is>
          <t>Fatores IPCA</t>
        </is>
      </c>
    </row>
    <row r="2">
      <c r="A2" t="inlineStr">
        <is>
          <t>Referência: jul/2026 (índice 7657.73) | IBGE/SIDRA t1737</t>
        </is>
      </c>
    </row>
    <row r="4">
      <c r="A4" s="4" t="inlineStr">
        <is>
          <t>Ano</t>
        </is>
      </c>
      <c r="B4" s="4" t="inlineStr">
        <is>
          <t>IPCA dez/ano</t>
        </is>
      </c>
      <c r="C4" s="4" t="inlineStr">
        <is>
          <t>Fator até jul/2026</t>
        </is>
      </c>
    </row>
    <row r="5">
      <c r="A5" t="n">
        <v>2002</v>
      </c>
      <c r="B5" t="n">
        <v>2039.78</v>
      </c>
      <c r="C5" t="n">
        <v>3.754194079753699</v>
      </c>
    </row>
    <row r="6">
      <c r="A6" t="n">
        <v>2003</v>
      </c>
      <c r="B6" t="n">
        <v>2229.49</v>
      </c>
      <c r="C6" t="n">
        <v>3.43474516593481</v>
      </c>
    </row>
    <row r="7">
      <c r="A7" t="n">
        <v>2004</v>
      </c>
      <c r="B7" t="n">
        <v>2398.92</v>
      </c>
      <c r="C7" t="n">
        <v>3.192157304120187</v>
      </c>
    </row>
    <row r="8">
      <c r="A8" t="n">
        <v>2005</v>
      </c>
      <c r="B8" t="n">
        <v>2535.4</v>
      </c>
      <c r="C8" t="n">
        <v>3.02032420919776</v>
      </c>
    </row>
    <row r="9">
      <c r="A9" t="n">
        <v>2006</v>
      </c>
      <c r="B9" t="n">
        <v>2615.05</v>
      </c>
      <c r="C9" t="n">
        <v>2.928330242251582</v>
      </c>
    </row>
    <row r="10">
      <c r="A10" t="n">
        <v>2007</v>
      </c>
      <c r="B10" t="n">
        <v>2731.62</v>
      </c>
      <c r="C10" t="n">
        <v>2.803365768298665</v>
      </c>
    </row>
    <row r="11">
      <c r="A11" t="n">
        <v>2008</v>
      </c>
      <c r="B11" t="n">
        <v>2892.86</v>
      </c>
      <c r="C11" t="n">
        <v>2.647113928776367</v>
      </c>
    </row>
    <row r="12">
      <c r="A12" t="n">
        <v>2009</v>
      </c>
      <c r="B12" t="n">
        <v>3017.59</v>
      </c>
      <c r="C12" t="n">
        <v>2.537697301488936</v>
      </c>
    </row>
    <row r="13">
      <c r="A13" t="n">
        <v>2010</v>
      </c>
      <c r="B13" t="n">
        <v>3195.89</v>
      </c>
      <c r="C13" t="n">
        <v>2.39611813923508</v>
      </c>
    </row>
    <row r="14">
      <c r="A14" t="n">
        <v>2011</v>
      </c>
      <c r="B14" t="n">
        <v>3403.73</v>
      </c>
      <c r="C14" t="n">
        <v>2.249805360589706</v>
      </c>
    </row>
    <row r="15">
      <c r="A15" t="n">
        <v>2012</v>
      </c>
      <c r="B15" t="n">
        <v>3602.46</v>
      </c>
      <c r="C15" t="n">
        <v>2.125694664201684</v>
      </c>
    </row>
    <row r="16">
      <c r="A16" t="n">
        <v>2013</v>
      </c>
      <c r="B16" t="n">
        <v>3815.39</v>
      </c>
      <c r="C16" t="n">
        <v>2.007063498095869</v>
      </c>
    </row>
    <row r="17">
      <c r="A17" t="n">
        <v>2014</v>
      </c>
      <c r="B17" t="n">
        <v>4059.86</v>
      </c>
      <c r="C17" t="n">
        <v>1.886205435655417</v>
      </c>
    </row>
    <row r="18">
      <c r="A18" t="n">
        <v>2015</v>
      </c>
      <c r="B18" t="n">
        <v>4493.17</v>
      </c>
      <c r="C18" t="n">
        <v>1.704304533325024</v>
      </c>
    </row>
    <row r="19">
      <c r="A19" t="n">
        <v>2016</v>
      </c>
      <c r="B19" t="n">
        <v>4775.7</v>
      </c>
      <c r="C19" t="n">
        <v>1.603478024163997</v>
      </c>
    </row>
    <row r="20">
      <c r="A20" t="n">
        <v>2017</v>
      </c>
      <c r="B20" t="n">
        <v>4916.46</v>
      </c>
      <c r="C20" t="n">
        <v>1.557569877513495</v>
      </c>
    </row>
    <row r="21">
      <c r="A21" t="n">
        <v>2018</v>
      </c>
      <c r="B21" t="n">
        <v>5100.61</v>
      </c>
      <c r="C21" t="n">
        <v>1.501336114700006</v>
      </c>
    </row>
    <row r="22">
      <c r="A22" t="n">
        <v>2019</v>
      </c>
      <c r="B22" t="n">
        <v>5320.25</v>
      </c>
      <c r="C22" t="n">
        <v>1.439355293454255</v>
      </c>
    </row>
    <row r="23">
      <c r="A23" t="n">
        <v>2020</v>
      </c>
      <c r="B23" t="n">
        <v>5560.59</v>
      </c>
      <c r="C23" t="n">
        <v>1.377143432621359</v>
      </c>
    </row>
    <row r="24">
      <c r="A24" t="n">
        <v>2021</v>
      </c>
      <c r="B24" t="n">
        <v>6120.04</v>
      </c>
      <c r="C24" t="n">
        <v>1.251254893758864</v>
      </c>
    </row>
    <row r="25">
      <c r="A25" t="n">
        <v>2022</v>
      </c>
      <c r="B25" t="n">
        <v>6474.09</v>
      </c>
      <c r="C25" t="n">
        <v>1.182827239040545</v>
      </c>
    </row>
    <row r="26">
      <c r="A26" t="n">
        <v>2023</v>
      </c>
      <c r="B26" t="n">
        <v>6773.27</v>
      </c>
      <c r="C26" t="n">
        <v>1.130580945392698</v>
      </c>
    </row>
    <row r="27">
      <c r="A27" t="n">
        <v>2024</v>
      </c>
      <c r="B27" t="n">
        <v>7100.5</v>
      </c>
      <c r="C27" t="n">
        <v>1.078477572001972</v>
      </c>
    </row>
    <row r="28">
      <c r="A28" t="n">
        <v>2025</v>
      </c>
      <c r="B28" t="n">
        <v>7403.29</v>
      </c>
      <c r="C28" t="n">
        <v>1.0343685037328</v>
      </c>
    </row>
    <row r="29">
      <c r="A29" t="n">
        <v>2026</v>
      </c>
      <c r="B29" t="inlineStr">
        <is>
          <t>—</t>
        </is>
      </c>
      <c r="C29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BTG PACTUAL — Lucros líquidos (planilha exclusiva)</t>
        </is>
      </c>
    </row>
    <row r="2">
      <c r="A2" t="inlineStr"/>
    </row>
    <row r="3">
      <c r="A3" s="10" t="inlineStr">
        <is>
          <t>Resposta direta: SIM, o BTG Pactual existia (e luchava) bem antes de 2020.</t>
        </is>
      </c>
    </row>
    <row r="4">
      <c r="A4" t="inlineStr">
        <is>
          <t>A planilha comparativa anterior só começava em 2020 por falta de preenchimento histórico — não porque o banco tenha surgido então.</t>
        </is>
      </c>
    </row>
    <row r="5">
      <c r="A5" t="inlineStr"/>
    </row>
    <row r="6">
      <c r="A6" t="inlineStr">
        <is>
          <t>Linha do tempo societária:</t>
        </is>
      </c>
    </row>
    <row r="7">
      <c r="A7" t="inlineStr">
        <is>
          <t>• Até 2006: Banco Pactual (origem em 1983).</t>
        </is>
      </c>
    </row>
    <row r="8">
      <c r="A8" t="inlineStr">
        <is>
          <t>• 2006–2009: UBS Pactual (após venda ao UBS).</t>
        </is>
      </c>
    </row>
    <row r="9">
      <c r="A9" t="inlineStr">
        <is>
          <t>• 2008: fundação da BTG Investments (André Esteves e sócios).</t>
        </is>
      </c>
    </row>
    <row r="10">
      <c r="A10" t="inlineStr">
        <is>
          <t>• 2009: BTG adquire o UBS Pactual → nasce o BTG Pactual atual.</t>
        </is>
      </c>
    </row>
    <row r="11">
      <c r="A11" t="inlineStr">
        <is>
          <t>• Abr/2012: IPO na B3.</t>
        </is>
      </c>
    </row>
    <row r="12">
      <c r="A12" t="inlineStr"/>
    </row>
    <row r="13">
      <c r="A13" t="inlineStr">
        <is>
          <t>Métricas:</t>
        </is>
      </c>
    </row>
    <row r="14">
      <c r="A14" t="inlineStr">
        <is>
          <t>• 2011–2016: “Combined net income” dos earnings releases (Banco + Participations no período combinado).</t>
        </is>
      </c>
    </row>
    <row r="15">
      <c r="A15" t="inlineStr">
        <is>
          <t>• 2017 em diante: Contábil e Adjusted Net Income publicados no RI.</t>
        </is>
      </c>
    </row>
    <row r="16">
      <c r="A16" t="inlineStr">
        <is>
          <t>• Na aba comparativa entre bancos usa-se preferencialmente o CONTÁBIL (alinhado a Itaú/Bradesco/Santander).</t>
        </is>
      </c>
    </row>
    <row r="17">
      <c r="A17" t="inlineStr">
        <is>
          <t>• 2009 (~R$ 1,3 bi): referência histórica amplamente citada (Wikipedia / narrativas RI); tratar como aproximação.</t>
        </is>
      </c>
    </row>
    <row r="18">
      <c r="A18" t="inlineStr">
        <is>
          <t>• 2010: lacuna nesta compilação (não localizado release anual consolidado comparável).</t>
        </is>
      </c>
    </row>
    <row r="19">
      <c r="A19" t="inlineStr">
        <is>
          <t>• 2002–2008: sem série BTG Pactual (outra razão social / controlador).</t>
        </is>
      </c>
    </row>
    <row r="20">
      <c r="A20" t="inlineStr"/>
    </row>
    <row r="21">
      <c r="A21" t="inlineStr">
        <is>
          <t>IPCA: fator = IPCA(jul/2026) / IPCA(dezembro do ano) | IBGE SIDRA tabela 1737.</t>
        </is>
      </c>
    </row>
    <row r="22">
      <c r="A22" t="inlineStr"/>
    </row>
    <row r="23">
      <c r="A23" t="inlineStr">
        <is>
          <t>Fontes principais: ri.btgpactual.com / MZ (earnings releases 4T12–4T25) e protocolo CVM/IPE 4T19.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2026-08-14T15:20:05Z</dcterms:created>
  <dcterms:modified xsi:type="dcterms:W3CDTF">2026-08-14T15:20:05Z</dcterms:modified>
</cp:coreProperties>
</file>