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riminante" sheetId="1" state="visible" r:id="rId1"/>
    <sheet name="Nubank_USD" sheetId="2" state="visible" r:id="rId2"/>
    <sheet name="Ranking" sheetId="3" state="visible" r:id="rId3"/>
    <sheet name="Serie_tid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#,##0.000"/>
    <numFmt numFmtId="165" formatCode="0.0"/>
    <numFmt numFmtId="166" formatCode="#,##0.0"/>
    <numFmt numFmtId="167" formatCode="0.000"/>
  </numFmts>
  <fonts count="7">
    <font>
      <name val="Calibri"/>
      <family val="2"/>
      <color theme="1"/>
      <sz val="11"/>
      <scheme val="minor"/>
    </font>
    <font>
      <b val="1"/>
      <color rgb="001F4E79"/>
      <sz val="14"/>
    </font>
    <font>
      <name val="Calibri"/>
      <b val="1"/>
      <color rgb="00FFFFFF"/>
      <sz val="11"/>
    </font>
    <font>
      <b val="1"/>
    </font>
    <font>
      <b val="1"/>
      <color rgb="001F4E79"/>
      <sz val="12"/>
    </font>
    <font>
      <b val="1"/>
      <sz val="12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AF8"/>
      </patternFill>
    </fill>
    <fill>
      <patternFill patternType="solid">
        <fgColor rgb="00F4B183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164" fontId="0" fillId="0" borderId="1" applyAlignment="1" pivotButton="0" quotePrefix="0" xfId="0">
      <alignment horizontal="center"/>
    </xf>
    <xf numFmtId="0" fontId="0" fillId="3" borderId="1" pivotButton="0" quotePrefix="0" xfId="0"/>
    <xf numFmtId="164" fontId="0" fillId="3" borderId="1" applyAlignment="1" pivotButton="0" quotePrefix="0" xfId="0">
      <alignment horizontal="center"/>
    </xf>
    <xf numFmtId="0" fontId="3" fillId="4" borderId="1" pivotButton="0" quotePrefix="0" xfId="0"/>
    <xf numFmtId="164" fontId="3" fillId="4" borderId="1" applyAlignment="1" pivotButton="0" quotePrefix="0" xfId="0">
      <alignment horizontal="center"/>
    </xf>
    <xf numFmtId="0" fontId="4" fillId="0" borderId="0" pivotButton="0" quotePrefix="0" xfId="0"/>
    <xf numFmtId="165" fontId="0" fillId="0" borderId="1" applyAlignment="1" pivotButton="0" quotePrefix="0" xfId="0">
      <alignment horizontal="center"/>
    </xf>
    <xf numFmtId="166" fontId="0" fillId="0" borderId="1" applyAlignment="1" pivotButton="0" quotePrefix="0" xfId="0">
      <alignment horizontal="center"/>
    </xf>
    <xf numFmtId="0" fontId="5" fillId="0" borderId="0" pivotButton="0" quotePrefix="0" xfId="0"/>
    <xf numFmtId="0" fontId="0" fillId="0" borderId="0" applyAlignment="1" pivotButton="0" quotePrefix="0" xfId="0">
      <alignment wrapText="1"/>
    </xf>
    <xf numFmtId="167" fontId="0" fillId="0" borderId="1" pivotButton="0" quotePrefix="0" xfId="0"/>
    <xf numFmtId="0" fontId="6" fillId="2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Lucro líquido (R$ bi) — discriminante 2023–2025 + 1S26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'Discriminante'!B3</f>
            </strRef>
          </tx>
          <spPr>
            <a:ln>
              <a:prstDash val="solid"/>
            </a:ln>
          </spPr>
          <cat>
            <numRef>
              <f>'Discriminante'!$A$4:$A$8</f>
            </numRef>
          </cat>
          <val>
            <numRef>
              <f>'Discriminante'!$B$4:$B$8</f>
            </numRef>
          </val>
        </ser>
        <ser>
          <idx val="1"/>
          <order val="1"/>
          <tx>
            <strRef>
              <f>'Discriminante'!C3</f>
            </strRef>
          </tx>
          <spPr>
            <a:ln>
              <a:prstDash val="solid"/>
            </a:ln>
          </spPr>
          <cat>
            <numRef>
              <f>'Discriminante'!$A$4:$A$8</f>
            </numRef>
          </cat>
          <val>
            <numRef>
              <f>'Discriminante'!$C$4:$C$8</f>
            </numRef>
          </val>
        </ser>
        <ser>
          <idx val="2"/>
          <order val="2"/>
          <tx>
            <strRef>
              <f>'Discriminante'!D3</f>
            </strRef>
          </tx>
          <spPr>
            <a:ln>
              <a:prstDash val="solid"/>
            </a:ln>
          </spPr>
          <cat>
            <numRef>
              <f>'Discriminante'!$A$4:$A$8</f>
            </numRef>
          </cat>
          <val>
            <numRef>
              <f>'Discriminante'!$D$4:$D$8</f>
            </numRef>
          </val>
        </ser>
        <ser>
          <idx val="3"/>
          <order val="3"/>
          <tx>
            <strRef>
              <f>'Discriminante'!E3</f>
            </strRef>
          </tx>
          <spPr>
            <a:ln>
              <a:prstDash val="solid"/>
            </a:ln>
          </spPr>
          <cat>
            <numRef>
              <f>'Discriminante'!$A$4:$A$8</f>
            </numRef>
          </cat>
          <val>
            <numRef>
              <f>'Discriminante'!$E$4:$E$8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 bilhões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Evolução do lucro líquido (R$ bi)</a:t>
            </a:r>
          </a:p>
        </rich>
      </tx>
    </title>
    <plotArea>
      <lineChart>
        <grouping val="standard"/>
        <ser>
          <idx val="0"/>
          <order val="0"/>
          <tx>
            <strRef>
              <f>'Discriminante'!B3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'Discriminante'!$A$4:$A$8</f>
            </numRef>
          </cat>
          <val>
            <numRef>
              <f>'Discriminante'!$B$4:$B$8</f>
            </numRef>
          </val>
        </ser>
        <ser>
          <idx val="1"/>
          <order val="1"/>
          <tx>
            <strRef>
              <f>'Discriminante'!C3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'Discriminante'!$A$4:$A$8</f>
            </numRef>
          </cat>
          <val>
            <numRef>
              <f>'Discriminante'!$C$4:$C$8</f>
            </numRef>
          </val>
        </ser>
        <ser>
          <idx val="2"/>
          <order val="2"/>
          <tx>
            <strRef>
              <f>'Discriminante'!D3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'Discriminante'!$A$4:$A$8</f>
            </numRef>
          </cat>
          <val>
            <numRef>
              <f>'Discriminante'!$D$4:$D$8</f>
            </numRef>
          </val>
        </ser>
        <ser>
          <idx val="3"/>
          <order val="3"/>
          <tx>
            <strRef>
              <f>'Discriminante'!E3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'Discriminante'!$A$4:$A$8</f>
            </numRef>
          </cat>
          <val>
            <numRef>
              <f>'Discriminante'!$E$4:$E$8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 bi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2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7</col>
      <colOff>0</colOff>
      <row>19</row>
      <rowOff>0</rowOff>
    </from>
    <ext cx="648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cols>
    <col width="48" customWidth="1" min="1" max="1"/>
    <col width="15" customWidth="1" min="2" max="2"/>
    <col width="15" customWidth="1" min="3" max="3"/>
    <col width="18" customWidth="1" min="4" max="4"/>
    <col width="24" customWidth="1" min="5" max="5"/>
    <col width="42" customWidth="1" min="6" max="6"/>
    <col width="12" customWidth="1" min="7" max="7"/>
  </cols>
  <sheetData>
    <row r="1">
      <c r="A1" s="1" t="inlineStr">
        <is>
          <t>Discriminante — Lucros líquidos (R$ bi): Itaú, Bradesco, Santander Brasil, Nubank e BTG Pactual (2023–2026)</t>
        </is>
      </c>
    </row>
    <row r="2"/>
    <row r="3">
      <c r="A3" s="2" t="inlineStr">
        <is>
          <t>Banco</t>
        </is>
      </c>
      <c r="B3" s="2" t="inlineStr">
        <is>
          <t>2023</t>
        </is>
      </c>
      <c r="C3" s="2" t="inlineStr">
        <is>
          <t>2024</t>
        </is>
      </c>
      <c r="D3" s="2" t="inlineStr">
        <is>
          <t>2025</t>
        </is>
      </c>
      <c r="E3" s="2" t="inlineStr">
        <is>
          <t>2026 (1S parcial)</t>
        </is>
      </c>
      <c r="F3" s="2" t="inlineStr">
        <is>
          <t>Métrica</t>
        </is>
      </c>
    </row>
    <row r="4">
      <c r="A4" s="3" t="inlineStr">
        <is>
          <t>Itaú Unibanco</t>
        </is>
      </c>
      <c r="B4" s="4" t="n">
        <v>35.618</v>
      </c>
      <c r="C4" s="4" t="n">
        <v>41.403</v>
      </c>
      <c r="D4" s="4" t="n">
        <v>46.8</v>
      </c>
      <c r="E4" s="4" t="n">
        <v>24.689</v>
      </c>
      <c r="F4" s="3" t="inlineStr">
        <is>
          <t>Lucro líquido recorrente gerencial</t>
        </is>
      </c>
    </row>
    <row r="5">
      <c r="A5" s="5" t="inlineStr">
        <is>
          <t>Bradesco</t>
        </is>
      </c>
      <c r="B5" s="6" t="n">
        <v>16.297</v>
      </c>
      <c r="C5" s="6" t="n">
        <v>19.554</v>
      </c>
      <c r="D5" s="6" t="n">
        <v>24.65</v>
      </c>
      <c r="E5" s="6" t="n">
        <v>13.861</v>
      </c>
      <c r="F5" s="5" t="inlineStr">
        <is>
          <t>Lucro líquido recorrente</t>
        </is>
      </c>
    </row>
    <row r="6">
      <c r="A6" s="3" t="inlineStr">
        <is>
          <t>Santander Brasil</t>
        </is>
      </c>
      <c r="B6" s="4" t="n">
        <v>9.385999999999999</v>
      </c>
      <c r="C6" s="4" t="n">
        <v>13.872</v>
      </c>
      <c r="D6" s="4" t="n">
        <v>15.615</v>
      </c>
      <c r="E6" s="4" t="n">
        <v>6.85</v>
      </c>
      <c r="F6" s="3" t="inlineStr">
        <is>
          <t>Lucro líquido gerencial</t>
        </is>
      </c>
    </row>
    <row r="7">
      <c r="A7" s="5" t="inlineStr">
        <is>
          <t>Nubank (Nu Holdings)</t>
        </is>
      </c>
      <c r="B7" s="6" t="n">
        <v>4.99</v>
      </c>
      <c r="C7" s="6" t="n">
        <v>10.62</v>
      </c>
      <c r="D7" s="6" t="n">
        <v>16.04</v>
      </c>
      <c r="E7" s="6" t="n">
        <v>10.43</v>
      </c>
      <c r="F7" s="5" t="inlineStr">
        <is>
          <t>Lucro líquido (US$ → R$ pela PTAX média)</t>
        </is>
      </c>
    </row>
    <row r="8">
      <c r="A8" s="3" t="inlineStr">
        <is>
          <t>BTG Pactual</t>
        </is>
      </c>
      <c r="B8" s="4" t="n">
        <v>10.419</v>
      </c>
      <c r="C8" s="4" t="n">
        <v>12.321</v>
      </c>
      <c r="D8" s="4" t="n">
        <v>16.7</v>
      </c>
      <c r="E8" s="4" t="n">
        <v>10</v>
      </c>
      <c r="F8" s="3" t="inlineStr">
        <is>
          <t>Lucro líquido ajustado</t>
        </is>
      </c>
    </row>
    <row r="9">
      <c r="A9" s="7" t="inlineStr">
        <is>
          <t>TOTAL</t>
        </is>
      </c>
      <c r="B9" s="8" t="n">
        <v>76.70999999999999</v>
      </c>
      <c r="C9" s="8" t="n">
        <v>97.77</v>
      </c>
      <c r="D9" s="8" t="n">
        <v>119.805</v>
      </c>
      <c r="E9" s="8" t="n">
        <v>65.83</v>
      </c>
      <c r="F9" s="7" t="inlineStr">
        <is>
          <t>Soma</t>
        </is>
      </c>
    </row>
    <row r="10"/>
    <row r="11"/>
    <row r="12">
      <c r="A12" s="9" t="inlineStr">
        <is>
          <t>Participação no total do ano (%)</t>
        </is>
      </c>
    </row>
    <row r="13">
      <c r="A13" s="2" t="inlineStr">
        <is>
          <t>Banco</t>
        </is>
      </c>
      <c r="B13" s="2" t="inlineStr">
        <is>
          <t>2023 %</t>
        </is>
      </c>
      <c r="C13" s="2" t="inlineStr">
        <is>
          <t>2024 %</t>
        </is>
      </c>
      <c r="D13" s="2" t="inlineStr">
        <is>
          <t>2025 %</t>
        </is>
      </c>
      <c r="E13" s="2" t="inlineStr">
        <is>
          <t>2026 1S %</t>
        </is>
      </c>
    </row>
    <row r="14">
      <c r="A14" t="inlineStr">
        <is>
          <t>Itaú Unibanco</t>
        </is>
      </c>
      <c r="B14" s="10" t="n">
        <v>46.4</v>
      </c>
      <c r="C14" s="10" t="n">
        <v>42.3</v>
      </c>
      <c r="D14" s="10" t="n">
        <v>39.1</v>
      </c>
      <c r="E14" s="10" t="n">
        <v>37.5</v>
      </c>
    </row>
    <row r="15">
      <c r="A15" t="inlineStr">
        <is>
          <t>Bradesco</t>
        </is>
      </c>
      <c r="B15" s="10" t="n">
        <v>21.2</v>
      </c>
      <c r="C15" s="10" t="n">
        <v>20</v>
      </c>
      <c r="D15" s="10" t="n">
        <v>20.6</v>
      </c>
      <c r="E15" s="10" t="n">
        <v>21.1</v>
      </c>
    </row>
    <row r="16">
      <c r="A16" t="inlineStr">
        <is>
          <t>Santander Brasil</t>
        </is>
      </c>
      <c r="B16" s="10" t="n">
        <v>12.2</v>
      </c>
      <c r="C16" s="10" t="n">
        <v>14.2</v>
      </c>
      <c r="D16" s="10" t="n">
        <v>13</v>
      </c>
      <c r="E16" s="10" t="n">
        <v>10.4</v>
      </c>
    </row>
    <row r="17">
      <c r="A17" t="inlineStr">
        <is>
          <t>Nubank (Nu Holdings)</t>
        </is>
      </c>
      <c r="B17" s="10" t="n">
        <v>6.5</v>
      </c>
      <c r="C17" s="10" t="n">
        <v>10.9</v>
      </c>
      <c r="D17" s="10" t="n">
        <v>13.4</v>
      </c>
      <c r="E17" s="10" t="n">
        <v>15.8</v>
      </c>
    </row>
    <row r="18">
      <c r="A18" t="inlineStr">
        <is>
          <t>BTG Pactual</t>
        </is>
      </c>
      <c r="B18" s="10" t="n">
        <v>13.6</v>
      </c>
      <c r="C18" s="10" t="n">
        <v>12.6</v>
      </c>
      <c r="D18" s="10" t="n">
        <v>13.9</v>
      </c>
      <c r="E18" s="10" t="n">
        <v>15.2</v>
      </c>
    </row>
    <row r="19"/>
    <row r="20"/>
    <row r="21">
      <c r="A21" s="9" t="inlineStr">
        <is>
          <t>Dinâmica (crescimento)</t>
        </is>
      </c>
    </row>
    <row r="22">
      <c r="A22" s="2" t="inlineStr">
        <is>
          <t>Banco</t>
        </is>
      </c>
      <c r="B22" s="2" t="inlineStr">
        <is>
          <t>Δ 2024/2023 %</t>
        </is>
      </c>
      <c r="C22" s="2" t="inlineStr">
        <is>
          <t>Δ 2025/2024 %</t>
        </is>
      </c>
      <c r="D22" s="2" t="inlineStr">
        <is>
          <t>CAGR 2023–2025 %</t>
        </is>
      </c>
      <c r="E22" s="2" t="inlineStr">
        <is>
          <t>2026 anualizado (ref.)</t>
        </is>
      </c>
      <c r="F22" s="2" t="inlineStr">
        <is>
          <t>1S26 vs metade 2025 %</t>
        </is>
      </c>
    </row>
    <row r="23">
      <c r="A23" t="inlineStr">
        <is>
          <t>Itaú Unibanco</t>
        </is>
      </c>
      <c r="B23" s="11" t="n">
        <v>16.2</v>
      </c>
      <c r="C23" s="11" t="n">
        <v>13</v>
      </c>
      <c r="D23" s="11" t="n">
        <v>14.6</v>
      </c>
      <c r="E23" s="11" t="n">
        <v>49.4</v>
      </c>
      <c r="F23" s="11" t="n">
        <v>5.5</v>
      </c>
    </row>
    <row r="24">
      <c r="A24" t="inlineStr">
        <is>
          <t>Bradesco</t>
        </is>
      </c>
      <c r="B24" s="11" t="n">
        <v>20</v>
      </c>
      <c r="C24" s="11" t="n">
        <v>26.1</v>
      </c>
      <c r="D24" s="11" t="n">
        <v>23</v>
      </c>
      <c r="E24" s="11" t="n">
        <v>27.7</v>
      </c>
      <c r="F24" s="11" t="n">
        <v>12.5</v>
      </c>
    </row>
    <row r="25">
      <c r="A25" t="inlineStr">
        <is>
          <t>Santander Brasil</t>
        </is>
      </c>
      <c r="B25" s="11" t="n">
        <v>47.8</v>
      </c>
      <c r="C25" s="11" t="n">
        <v>12.6</v>
      </c>
      <c r="D25" s="11" t="n">
        <v>29</v>
      </c>
      <c r="E25" s="11" t="n">
        <v>13.7</v>
      </c>
      <c r="F25" s="11" t="n">
        <v>-12.3</v>
      </c>
    </row>
    <row r="26">
      <c r="A26" t="inlineStr">
        <is>
          <t>Nubank (Nu Holdings)</t>
        </is>
      </c>
      <c r="B26" s="11" t="n">
        <v>112.8</v>
      </c>
      <c r="C26" s="11" t="n">
        <v>51</v>
      </c>
      <c r="D26" s="11" t="n">
        <v>79.3</v>
      </c>
      <c r="E26" s="11" t="n">
        <v>20.9</v>
      </c>
      <c r="F26" s="11" t="n">
        <v>30</v>
      </c>
    </row>
    <row r="27">
      <c r="A27" t="inlineStr">
        <is>
          <t>BTG Pactual</t>
        </is>
      </c>
      <c r="B27" s="11" t="n">
        <v>18.3</v>
      </c>
      <c r="C27" s="11" t="n">
        <v>35.5</v>
      </c>
      <c r="D27" s="11" t="n">
        <v>26.6</v>
      </c>
      <c r="E27" s="11" t="n">
        <v>20</v>
      </c>
      <c r="F27" s="11" t="n">
        <v>19.8</v>
      </c>
    </row>
    <row r="28"/>
    <row r="29"/>
    <row r="30" ht="18" customHeight="1">
      <c r="A30" s="12" t="inlineStr">
        <is>
          <t>Notas metodológicas</t>
        </is>
      </c>
    </row>
    <row r="31">
      <c r="A31" s="13" t="inlineStr">
        <is>
          <t>• Valores em R$ bilhões.</t>
        </is>
      </c>
    </row>
    <row r="32">
      <c r="A32" s="13" t="inlineStr">
        <is>
          <t>• Coluna 2026_1S = lucro do 1º semestre de 2026 (parcial; ano em curso).</t>
        </is>
      </c>
    </row>
    <row r="33">
      <c r="A33" s="13" t="inlineStr">
        <is>
          <t>• 2026_anualizado_ref = 1S26 × 2 (apenas referência mecânica; não é projeção oficial).</t>
        </is>
      </c>
    </row>
    <row r="34">
      <c r="A34" s="13" t="inlineStr">
        <is>
          <t>• Métricas diferem por instituição (recorrente/gerencial/ajustado) — padrão de mercado.</t>
        </is>
      </c>
    </row>
    <row r="35">
      <c r="A35" s="13" t="inlineStr">
        <is>
          <t>• Nubank: conversão US$→R$ pela PTAX média aproximada do período.</t>
        </is>
      </c>
    </row>
    <row r="36">
      <c r="A36" s="13" t="inlineStr">
        <is>
          <t>• Itaú: releases 2023–2025 e 1S26 (recorrente gerencial).</t>
        </is>
      </c>
    </row>
    <row r="37">
      <c r="A37" s="13" t="inlineStr">
        <is>
          <t>• Bradesco: releases 2023–2025 e 1S26 (recorrente).</t>
        </is>
      </c>
    </row>
    <row r="38">
      <c r="A38" s="13" t="inlineStr">
        <is>
          <t>• Santander Brasil: Folha/Valor — gerencial 2023 R$ 9,4 bi; 2024 R$ 13,872 bi; 2025 R$ 15,615 bi; 1S26 ≈ R$ 6,85 bi (1T R$ 3,788 + 2T ≈ R$ 3,0; coerente com total Itaú+Bradesco+Santander = R$ 45,4 bi no 1S26).</t>
        </is>
      </c>
    </row>
    <row r="39">
      <c r="A39" s="13" t="inlineStr">
        <is>
          <t>• Nubank: Nu Holdings — US$ 1,0 bi (2023), US$ 1,97 bi (2024), US$ 2,87 bi (2025), US$ 1,932 bi no 1S26 (US$ 871,4 mi + US$ 1,061 bi); convertido pela PTAX média.</t>
        </is>
      </c>
    </row>
    <row r="40">
      <c r="A40" s="13" t="inlineStr">
        <is>
          <t>• BTG Pactual: ajustado R$ 10,419 bi (2023), R$ 12,321 bi (2024), R$ 16,7 bi (2025); 1S26 ≈ R$ 10,0 bi (ajustado).</t>
        </is>
      </c>
    </row>
    <row r="41">
      <c r="A41" s="13" t="inlineStr">
        <is>
          <t>• Referência de data: setembro/2026 — 2026 ainda sem fechamento anual.</t>
        </is>
      </c>
    </row>
  </sheetData>
  <mergeCells count="12">
    <mergeCell ref="A38:F38"/>
    <mergeCell ref="A33:F33"/>
    <mergeCell ref="A41:F41"/>
    <mergeCell ref="A1:G1"/>
    <mergeCell ref="A36:F36"/>
    <mergeCell ref="A37:F37"/>
    <mergeCell ref="A32:F32"/>
    <mergeCell ref="A31:F31"/>
    <mergeCell ref="A34:F34"/>
    <mergeCell ref="A35:F35"/>
    <mergeCell ref="A40:F40"/>
    <mergeCell ref="A39:F39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48" customWidth="1" min="1" max="1"/>
    <col width="14" customWidth="1" min="2" max="2"/>
    <col width="21" customWidth="1" min="3" max="3"/>
    <col width="13" customWidth="1" min="4" max="4"/>
    <col width="30" customWidth="1" min="5" max="5"/>
  </cols>
  <sheetData>
    <row r="1">
      <c r="A1" s="9" t="inlineStr">
        <is>
          <t>Nubank (Nu Holdings) — lucro líquido reportado em US$ e conversão</t>
        </is>
      </c>
    </row>
    <row r="2"/>
    <row r="3">
      <c r="A3" s="2" t="inlineStr">
        <is>
          <t>Período</t>
        </is>
      </c>
      <c r="B3" s="2" t="inlineStr">
        <is>
          <t>Lucro US$ bi</t>
        </is>
      </c>
      <c r="C3" s="2" t="inlineStr">
        <is>
          <t>PTAX média (R$/US$)</t>
        </is>
      </c>
      <c r="D3" s="2" t="inlineStr">
        <is>
          <t>Lucro R$ bi</t>
        </is>
      </c>
      <c r="E3" s="2" t="inlineStr">
        <is>
          <t>Obs.</t>
        </is>
      </c>
    </row>
    <row r="4">
      <c r="A4" s="3" t="inlineStr">
        <is>
          <t>2023</t>
        </is>
      </c>
      <c r="B4" s="14" t="n">
        <v>1</v>
      </c>
      <c r="C4" s="14" t="n">
        <v>4.99</v>
      </c>
      <c r="D4" s="14" t="n">
        <v>4.99</v>
      </c>
      <c r="E4" s="3" t="inlineStr">
        <is>
          <t>Ano cheio</t>
        </is>
      </c>
    </row>
    <row r="5">
      <c r="A5" s="3" t="inlineStr">
        <is>
          <t>2024</t>
        </is>
      </c>
      <c r="B5" s="14" t="n">
        <v>1.97</v>
      </c>
      <c r="C5" s="14" t="n">
        <v>5.39</v>
      </c>
      <c r="D5" s="14" t="n">
        <v>10.62</v>
      </c>
      <c r="E5" s="3" t="inlineStr">
        <is>
          <t>Ano cheio</t>
        </is>
      </c>
    </row>
    <row r="6">
      <c r="A6" s="3" t="inlineStr">
        <is>
          <t>2025</t>
        </is>
      </c>
      <c r="B6" s="14" t="n">
        <v>2.87</v>
      </c>
      <c r="C6" s="14" t="n">
        <v>5.59</v>
      </c>
      <c r="D6" s="14" t="n">
        <v>16.04</v>
      </c>
      <c r="E6" s="3" t="inlineStr">
        <is>
          <t>Ano cheio</t>
        </is>
      </c>
    </row>
    <row r="7">
      <c r="A7" s="3" t="inlineStr">
        <is>
          <t>2026 1S</t>
        </is>
      </c>
      <c r="B7" s="14" t="n">
        <v>1.9324</v>
      </c>
      <c r="C7" s="14" t="n">
        <v>5.4</v>
      </c>
      <c r="D7" s="14" t="n">
        <v>10.43</v>
      </c>
      <c r="E7" s="3" t="inlineStr">
        <is>
          <t>1T US$ 0,8714 + 2T US$ 1,061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2" customWidth="1" min="3" max="3"/>
    <col width="25" customWidth="1" min="4" max="4"/>
    <col width="12" customWidth="1" min="5" max="5"/>
    <col width="12" customWidth="1" min="6" max="6"/>
    <col width="25" customWidth="1" min="7" max="7"/>
    <col width="12" customWidth="1" min="8" max="8"/>
    <col width="12" customWidth="1" min="9" max="9"/>
    <col width="25" customWidth="1" min="10" max="10"/>
    <col width="12" customWidth="1" min="11" max="11"/>
  </cols>
  <sheetData>
    <row r="1">
      <c r="A1" s="9" t="inlineStr">
        <is>
          <t>Ranking por lucro líquido (R$ bi)</t>
        </is>
      </c>
    </row>
    <row r="2"/>
    <row r="3">
      <c r="A3" s="15" t="inlineStr">
        <is>
          <t>2023</t>
        </is>
      </c>
      <c r="B3" s="15" t="inlineStr">
        <is>
          <t>R$ bi</t>
        </is>
      </c>
      <c r="D3" s="15" t="inlineStr">
        <is>
          <t>2024</t>
        </is>
      </c>
      <c r="E3" s="15" t="inlineStr">
        <is>
          <t>R$ bi</t>
        </is>
      </c>
      <c r="G3" s="15" t="inlineStr">
        <is>
          <t>2025</t>
        </is>
      </c>
      <c r="H3" s="15" t="inlineStr">
        <is>
          <t>R$ bi</t>
        </is>
      </c>
      <c r="J3" s="15" t="inlineStr">
        <is>
          <t>2026 1S</t>
        </is>
      </c>
      <c r="K3" s="15" t="inlineStr">
        <is>
          <t>R$ bi</t>
        </is>
      </c>
    </row>
    <row r="4">
      <c r="A4" t="inlineStr">
        <is>
          <t>1º Itaú Unibanco</t>
        </is>
      </c>
      <c r="B4" s="16" t="n">
        <v>35.618</v>
      </c>
      <c r="D4" t="inlineStr">
        <is>
          <t>1º Itaú Unibanco</t>
        </is>
      </c>
      <c r="E4" s="16" t="n">
        <v>41.403</v>
      </c>
      <c r="G4" t="inlineStr">
        <is>
          <t>1º Itaú Unibanco</t>
        </is>
      </c>
      <c r="H4" s="16" t="n">
        <v>46.8</v>
      </c>
      <c r="J4" t="inlineStr">
        <is>
          <t>1º Itaú Unibanco</t>
        </is>
      </c>
      <c r="K4" s="16" t="n">
        <v>24.689</v>
      </c>
    </row>
    <row r="5">
      <c r="A5" t="inlineStr">
        <is>
          <t>2º Bradesco</t>
        </is>
      </c>
      <c r="B5" s="16" t="n">
        <v>16.297</v>
      </c>
      <c r="D5" t="inlineStr">
        <is>
          <t>2º Bradesco</t>
        </is>
      </c>
      <c r="E5" s="16" t="n">
        <v>19.554</v>
      </c>
      <c r="G5" t="inlineStr">
        <is>
          <t>2º Bradesco</t>
        </is>
      </c>
      <c r="H5" s="16" t="n">
        <v>24.65</v>
      </c>
      <c r="J5" t="inlineStr">
        <is>
          <t>2º Bradesco</t>
        </is>
      </c>
      <c r="K5" s="16" t="n">
        <v>13.861</v>
      </c>
    </row>
    <row r="6">
      <c r="A6" t="inlineStr">
        <is>
          <t>3º BTG Pactual</t>
        </is>
      </c>
      <c r="B6" s="16" t="n">
        <v>10.419</v>
      </c>
      <c r="D6" t="inlineStr">
        <is>
          <t>3º Santander Brasil</t>
        </is>
      </c>
      <c r="E6" s="16" t="n">
        <v>13.872</v>
      </c>
      <c r="G6" t="inlineStr">
        <is>
          <t>3º BTG Pactual</t>
        </is>
      </c>
      <c r="H6" s="16" t="n">
        <v>16.7</v>
      </c>
      <c r="J6" t="inlineStr">
        <is>
          <t>3º Nubank (Nu Holdings)</t>
        </is>
      </c>
      <c r="K6" s="16" t="n">
        <v>10.43</v>
      </c>
    </row>
    <row r="7">
      <c r="A7" t="inlineStr">
        <is>
          <t>4º Santander Brasil</t>
        </is>
      </c>
      <c r="B7" s="16" t="n">
        <v>9.385999999999999</v>
      </c>
      <c r="D7" t="inlineStr">
        <is>
          <t>4º BTG Pactual</t>
        </is>
      </c>
      <c r="E7" s="16" t="n">
        <v>12.321</v>
      </c>
      <c r="G7" t="inlineStr">
        <is>
          <t>4º Nubank (Nu Holdings)</t>
        </is>
      </c>
      <c r="H7" s="16" t="n">
        <v>16.04</v>
      </c>
      <c r="J7" t="inlineStr">
        <is>
          <t>4º BTG Pactual</t>
        </is>
      </c>
      <c r="K7" s="16" t="n">
        <v>10</v>
      </c>
    </row>
    <row r="8">
      <c r="A8" t="inlineStr">
        <is>
          <t>5º Nubank (Nu Holdings)</t>
        </is>
      </c>
      <c r="B8" s="16" t="n">
        <v>4.99</v>
      </c>
      <c r="D8" t="inlineStr">
        <is>
          <t>5º Nubank (Nu Holdings)</t>
        </is>
      </c>
      <c r="E8" s="16" t="n">
        <v>10.62</v>
      </c>
      <c r="G8" t="inlineStr">
        <is>
          <t>5º Santander Brasil</t>
        </is>
      </c>
      <c r="H8" s="16" t="n">
        <v>15.615</v>
      </c>
      <c r="J8" t="inlineStr">
        <is>
          <t>5º Santander Brasil</t>
        </is>
      </c>
      <c r="K8" s="16" t="n">
        <v>6.85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3" customWidth="1" min="3" max="3"/>
  </cols>
  <sheetData>
    <row r="1">
      <c r="A1" s="15" t="inlineStr">
        <is>
          <t>Banco</t>
        </is>
      </c>
      <c r="B1" s="15" t="inlineStr">
        <is>
          <t>Periodo</t>
        </is>
      </c>
      <c r="C1" s="15" t="inlineStr">
        <is>
          <t>Lucro_R$_bi</t>
        </is>
      </c>
    </row>
    <row r="2">
      <c r="A2" t="inlineStr">
        <is>
          <t>Itaú Unibanco</t>
        </is>
      </c>
      <c r="B2" t="inlineStr">
        <is>
          <t>2023</t>
        </is>
      </c>
      <c r="C2" t="n">
        <v>35.618</v>
      </c>
    </row>
    <row r="3">
      <c r="A3" t="inlineStr">
        <is>
          <t>Bradesco</t>
        </is>
      </c>
      <c r="B3" t="inlineStr">
        <is>
          <t>2023</t>
        </is>
      </c>
      <c r="C3" t="n">
        <v>16.297</v>
      </c>
    </row>
    <row r="4">
      <c r="A4" t="inlineStr">
        <is>
          <t>Santander Brasil</t>
        </is>
      </c>
      <c r="B4" t="inlineStr">
        <is>
          <t>2023</t>
        </is>
      </c>
      <c r="C4" t="n">
        <v>9.385999999999999</v>
      </c>
    </row>
    <row r="5">
      <c r="A5" t="inlineStr">
        <is>
          <t>Nubank (Nu Holdings)</t>
        </is>
      </c>
      <c r="B5" t="inlineStr">
        <is>
          <t>2023</t>
        </is>
      </c>
      <c r="C5" t="n">
        <v>4.99</v>
      </c>
    </row>
    <row r="6">
      <c r="A6" t="inlineStr">
        <is>
          <t>BTG Pactual</t>
        </is>
      </c>
      <c r="B6" t="inlineStr">
        <is>
          <t>2023</t>
        </is>
      </c>
      <c r="C6" t="n">
        <v>10.419</v>
      </c>
    </row>
    <row r="7">
      <c r="A7" t="inlineStr">
        <is>
          <t>Itaú Unibanco</t>
        </is>
      </c>
      <c r="B7" t="inlineStr">
        <is>
          <t>2024</t>
        </is>
      </c>
      <c r="C7" t="n">
        <v>41.403</v>
      </c>
    </row>
    <row r="8">
      <c r="A8" t="inlineStr">
        <is>
          <t>Bradesco</t>
        </is>
      </c>
      <c r="B8" t="inlineStr">
        <is>
          <t>2024</t>
        </is>
      </c>
      <c r="C8" t="n">
        <v>19.554</v>
      </c>
    </row>
    <row r="9">
      <c r="A9" t="inlineStr">
        <is>
          <t>Santander Brasil</t>
        </is>
      </c>
      <c r="B9" t="inlineStr">
        <is>
          <t>2024</t>
        </is>
      </c>
      <c r="C9" t="n">
        <v>13.872</v>
      </c>
    </row>
    <row r="10">
      <c r="A10" t="inlineStr">
        <is>
          <t>Nubank (Nu Holdings)</t>
        </is>
      </c>
      <c r="B10" t="inlineStr">
        <is>
          <t>2024</t>
        </is>
      </c>
      <c r="C10" t="n">
        <v>10.62</v>
      </c>
    </row>
    <row r="11">
      <c r="A11" t="inlineStr">
        <is>
          <t>BTG Pactual</t>
        </is>
      </c>
      <c r="B11" t="inlineStr">
        <is>
          <t>2024</t>
        </is>
      </c>
      <c r="C11" t="n">
        <v>12.321</v>
      </c>
    </row>
    <row r="12">
      <c r="A12" t="inlineStr">
        <is>
          <t>Itaú Unibanco</t>
        </is>
      </c>
      <c r="B12" t="inlineStr">
        <is>
          <t>2025</t>
        </is>
      </c>
      <c r="C12" t="n">
        <v>46.8</v>
      </c>
    </row>
    <row r="13">
      <c r="A13" t="inlineStr">
        <is>
          <t>Bradesco</t>
        </is>
      </c>
      <c r="B13" t="inlineStr">
        <is>
          <t>2025</t>
        </is>
      </c>
      <c r="C13" t="n">
        <v>24.65</v>
      </c>
    </row>
    <row r="14">
      <c r="A14" t="inlineStr">
        <is>
          <t>Santander Brasil</t>
        </is>
      </c>
      <c r="B14" t="inlineStr">
        <is>
          <t>2025</t>
        </is>
      </c>
      <c r="C14" t="n">
        <v>15.615</v>
      </c>
    </row>
    <row r="15">
      <c r="A15" t="inlineStr">
        <is>
          <t>Nubank (Nu Holdings)</t>
        </is>
      </c>
      <c r="B15" t="inlineStr">
        <is>
          <t>2025</t>
        </is>
      </c>
      <c r="C15" t="n">
        <v>16.04</v>
      </c>
    </row>
    <row r="16">
      <c r="A16" t="inlineStr">
        <is>
          <t>BTG Pactual</t>
        </is>
      </c>
      <c r="B16" t="inlineStr">
        <is>
          <t>2025</t>
        </is>
      </c>
      <c r="C16" t="n">
        <v>16.7</v>
      </c>
    </row>
    <row r="17">
      <c r="A17" t="inlineStr">
        <is>
          <t>Itaú Unibanco</t>
        </is>
      </c>
      <c r="B17" t="inlineStr">
        <is>
          <t>2026_1S</t>
        </is>
      </c>
      <c r="C17" t="n">
        <v>24.689</v>
      </c>
    </row>
    <row r="18">
      <c r="A18" t="inlineStr">
        <is>
          <t>Bradesco</t>
        </is>
      </c>
      <c r="B18" t="inlineStr">
        <is>
          <t>2026_1S</t>
        </is>
      </c>
      <c r="C18" t="n">
        <v>13.861</v>
      </c>
    </row>
    <row r="19">
      <c r="A19" t="inlineStr">
        <is>
          <t>Santander Brasil</t>
        </is>
      </c>
      <c r="B19" t="inlineStr">
        <is>
          <t>2026_1S</t>
        </is>
      </c>
      <c r="C19" t="n">
        <v>6.85</v>
      </c>
    </row>
    <row r="20">
      <c r="A20" t="inlineStr">
        <is>
          <t>Nubank (Nu Holdings)</t>
        </is>
      </c>
      <c r="B20" t="inlineStr">
        <is>
          <t>2026_1S</t>
        </is>
      </c>
      <c r="C20" t="n">
        <v>10.43</v>
      </c>
    </row>
    <row r="21">
      <c r="A21" t="inlineStr">
        <is>
          <t>BTG Pactual</t>
        </is>
      </c>
      <c r="B21" t="inlineStr">
        <is>
          <t>2026_1S</t>
        </is>
      </c>
      <c r="C2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2026-09-07T05:18:27Z</dcterms:created>
  <dcterms:modified xsi:type="dcterms:W3CDTF">2026-09-07T05:18:27Z</dcterms:modified>
</cp:coreProperties>
</file>