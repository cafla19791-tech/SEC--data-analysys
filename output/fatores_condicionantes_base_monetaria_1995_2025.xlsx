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odologia" sheetId="1" state="visible" r:id="rId1"/>
    <sheet name="Discriminativo" sheetId="2" state="visible" r:id="rId2"/>
    <sheet name="Anual" sheetId="3" state="visible" r:id="rId3"/>
    <sheet name="Dezembro" sheetId="4" state="visible" r:id="rId4"/>
    <sheet name="Mensal" sheetId="5" state="visible" r:id="rId5"/>
    <sheet name="Identidade" sheetId="6" state="visible" r:id="rId6"/>
    <sheet name="Grafico" sheetId="7" state="visible" r:id="rId7"/>
  </sheets>
  <definedNames>
    <definedName name="_xlnm._FilterDatabase" localSheetId="1" hidden="1">'Discriminativo'!$A$4:$S$35</definedName>
    <definedName name="_xlnm._FilterDatabase" localSheetId="2" hidden="1">'Anual'!$A$4:$AG$24</definedName>
    <definedName name="_xlnm._FilterDatabase" localSheetId="3" hidden="1">'Dezembro'!$A$4:$AG$21</definedName>
    <definedName name="_xlnm._FilterDatabase" localSheetId="4" hidden="1">'Mensal'!$A$3:$W$376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&quot;−&quot;#,##0.0;&quot;—&quot;"/>
  </numFmts>
  <fonts count="15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1F4E79"/>
      <sz val="14"/>
    </font>
    <font>
      <name val="Calibri"/>
      <i val="1"/>
      <sz val="10"/>
    </font>
    <font>
      <name val="Calibri"/>
      <b val="1"/>
      <color rgb="009B1B1B"/>
      <sz val="9"/>
    </font>
    <font>
      <name val="Calibri"/>
      <color rgb="00006100"/>
      <sz val="9"/>
    </font>
    <font>
      <name val="Calibri"/>
      <b val="1"/>
      <sz val="9"/>
    </font>
    <font>
      <name val="Calibri"/>
      <i val="1"/>
      <color rgb="00666666"/>
      <sz val="8"/>
    </font>
    <font>
      <name val="Calibri"/>
      <sz val="9"/>
    </font>
    <font>
      <name val="Calibri"/>
      <color rgb="00666666"/>
      <sz val="8"/>
    </font>
    <font>
      <name val="Calibri"/>
      <sz val="8"/>
    </font>
    <font>
      <b val="1"/>
      <color rgb="00FFFFFF"/>
    </font>
    <font>
      <name val="Calibri"/>
      <b val="1"/>
      <color rgb="00FFFFFF"/>
      <sz val="8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D6E3F0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EF2F7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3" fillId="0" borderId="1" applyAlignment="1" pivotButton="0" quotePrefix="0" xfId="0">
      <alignment horizontal="center"/>
    </xf>
    <xf numFmtId="164" fontId="6" fillId="3" borderId="1" pivotButton="0" quotePrefix="0" xfId="0"/>
    <xf numFmtId="164" fontId="7" fillId="0" borderId="1" pivotButton="0" quotePrefix="0" xfId="0"/>
    <xf numFmtId="164" fontId="0" fillId="0" borderId="1" pivotButton="0" quotePrefix="0" xfId="0"/>
    <xf numFmtId="164" fontId="8" fillId="4" borderId="1" pivotButton="0" quotePrefix="0" xfId="0"/>
    <xf numFmtId="0" fontId="3" fillId="5" borderId="1" applyAlignment="1" pivotButton="0" quotePrefix="0" xfId="0">
      <alignment horizontal="center"/>
    </xf>
    <xf numFmtId="164" fontId="8" fillId="6" borderId="1" pivotButton="0" quotePrefix="0" xfId="0"/>
    <xf numFmtId="0" fontId="3" fillId="6" borderId="1" pivotButton="0" quotePrefix="0" xfId="0"/>
    <xf numFmtId="0" fontId="0" fillId="6" borderId="1" pivotButton="0" quotePrefix="0" xfId="0"/>
    <xf numFmtId="0" fontId="9" fillId="0" borderId="0" pivotButton="0" quotePrefix="0" xfId="0"/>
    <xf numFmtId="0" fontId="5" fillId="0" borderId="0" pivotButton="0" quotePrefix="0" xfId="0"/>
    <xf numFmtId="0" fontId="10" fillId="0" borderId="1" applyAlignment="1" pivotButton="0" quotePrefix="0" xfId="0">
      <alignment vertical="center"/>
    </xf>
    <xf numFmtId="0" fontId="11" fillId="0" borderId="1" applyAlignment="1" pivotButton="0" quotePrefix="0" xfId="0">
      <alignment horizontal="center"/>
    </xf>
    <xf numFmtId="164" fontId="7" fillId="7" borderId="1" pivotButton="0" quotePrefix="0" xfId="0"/>
    <xf numFmtId="0" fontId="10" fillId="8" borderId="1" applyAlignment="1" pivotButton="0" quotePrefix="0" xfId="0">
      <alignment vertical="center"/>
    </xf>
    <xf numFmtId="0" fontId="11" fillId="8" borderId="1" applyAlignment="1" pivotButton="0" quotePrefix="0" xfId="0">
      <alignment horizontal="center"/>
    </xf>
    <xf numFmtId="164" fontId="0" fillId="8" borderId="1" pivotButton="0" quotePrefix="0" xfId="0"/>
    <xf numFmtId="164" fontId="7" fillId="8" borderId="1" pivotButton="0" quotePrefix="0" xfId="0"/>
    <xf numFmtId="164" fontId="0" fillId="7" borderId="1" pivotButton="0" quotePrefix="0" xfId="0"/>
    <xf numFmtId="0" fontId="8" fillId="6" borderId="1" applyAlignment="1" pivotButton="0" quotePrefix="0" xfId="0">
      <alignment vertical="center"/>
    </xf>
    <xf numFmtId="0" fontId="11" fillId="6" borderId="1" applyAlignment="1" pivotButton="0" quotePrefix="0" xfId="0">
      <alignment horizontal="center"/>
    </xf>
    <xf numFmtId="164" fontId="8" fillId="3" borderId="1" pivotButton="0" quotePrefix="0" xfId="0"/>
    <xf numFmtId="0" fontId="10" fillId="5" borderId="1" applyAlignment="1" pivotButton="0" quotePrefix="0" xfId="0">
      <alignment vertical="center"/>
    </xf>
    <xf numFmtId="0" fontId="11" fillId="5" borderId="1" applyAlignment="1" pivotButton="0" quotePrefix="0" xfId="0">
      <alignment horizontal="center"/>
    </xf>
    <xf numFmtId="164" fontId="10" fillId="5" borderId="1" pivotButton="0" quotePrefix="0" xfId="0"/>
    <xf numFmtId="164" fontId="10" fillId="3" borderId="1" pivotButton="0" quotePrefix="0" xfId="0"/>
    <xf numFmtId="0" fontId="8" fillId="4" borderId="1" applyAlignment="1" pivotButton="0" quotePrefix="0" xfId="0">
      <alignment vertical="center"/>
    </xf>
    <xf numFmtId="0" fontId="11" fillId="4" borderId="1" applyAlignment="1" pivotButton="0" quotePrefix="0" xfId="0">
      <alignment horizontal="center"/>
    </xf>
    <xf numFmtId="0" fontId="12" fillId="5" borderId="1" pivotButton="0" quotePrefix="0" xfId="0"/>
    <xf numFmtId="164" fontId="12" fillId="5" borderId="1" pivotButton="0" quotePrefix="0" xfId="0"/>
    <xf numFmtId="0" fontId="12" fillId="0" borderId="1" pivotButton="0" quotePrefix="0" xfId="0"/>
    <xf numFmtId="164" fontId="12" fillId="0" borderId="1" pivotButton="0" quotePrefix="0" xfId="0"/>
    <xf numFmtId="0" fontId="12" fillId="9" borderId="1" pivotButton="0" quotePrefix="0" xfId="0"/>
    <xf numFmtId="164" fontId="12" fillId="9" borderId="1" pivotButton="0" quotePrefix="0" xfId="0"/>
    <xf numFmtId="0" fontId="12" fillId="10" borderId="1" pivotButton="0" quotePrefix="0" xfId="0"/>
    <xf numFmtId="164" fontId="12" fillId="10" borderId="1" pivotButton="0" quotePrefix="0" xfId="0"/>
    <xf numFmtId="0" fontId="13" fillId="2" borderId="0" pivotButton="0" quotePrefix="0" xfId="0"/>
    <xf numFmtId="0" fontId="14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Fatores condicionantes da base — fluxo anual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'Grafico'!B17</f>
            </strRef>
          </tx>
          <spPr>
            <a:ln>
              <a:prstDash val="solid"/>
            </a:ln>
          </spPr>
          <cat>
            <numRef>
              <f>'Grafico'!$A$18:$A$48</f>
            </numRef>
          </cat>
          <val>
            <numRef>
              <f>'Grafico'!$B$18:$B$48</f>
            </numRef>
          </val>
        </ser>
        <ser>
          <idx val="1"/>
          <order val="1"/>
          <tx>
            <strRef>
              <f>'Grafico'!C17</f>
            </strRef>
          </tx>
          <spPr>
            <a:ln>
              <a:prstDash val="solid"/>
            </a:ln>
          </spPr>
          <cat>
            <numRef>
              <f>'Grafico'!$A$18:$A$48</f>
            </numRef>
          </cat>
          <val>
            <numRef>
              <f>'Grafico'!$C$18:$C$48</f>
            </numRef>
          </val>
        </ser>
        <ser>
          <idx val="2"/>
          <order val="2"/>
          <tx>
            <strRef>
              <f>'Grafico'!D17</f>
            </strRef>
          </tx>
          <spPr>
            <a:ln>
              <a:prstDash val="solid"/>
            </a:ln>
          </spPr>
          <cat>
            <numRef>
              <f>'Grafico'!$A$18:$A$48</f>
            </numRef>
          </cat>
          <val>
            <numRef>
              <f>'Grafico'!$D$18:$D$48</f>
            </numRef>
          </val>
        </ser>
        <ser>
          <idx val="3"/>
          <order val="3"/>
          <tx>
            <strRef>
              <f>'Grafico'!E17</f>
            </strRef>
          </tx>
          <spPr>
            <a:ln>
              <a:prstDash val="solid"/>
            </a:ln>
          </spPr>
          <cat>
            <numRef>
              <f>'Grafico'!$A$18:$A$48</f>
            </numRef>
          </cat>
          <val>
            <numRef>
              <f>'Grafico'!$E$18:$E$48</f>
            </numRef>
          </val>
        </ser>
        <ser>
          <idx val="4"/>
          <order val="4"/>
          <tx>
            <strRef>
              <f>'Grafico'!F17</f>
            </strRef>
          </tx>
          <spPr>
            <a:ln>
              <a:prstDash val="solid"/>
            </a:ln>
          </spPr>
          <cat>
            <numRef>
              <f>'Grafico'!$A$18:$A$48</f>
            </numRef>
          </cat>
          <val>
            <numRef>
              <f>'Grafico'!$F$18:$F$48</f>
            </numRef>
          </val>
        </ser>
        <ser>
          <idx val="5"/>
          <order val="5"/>
          <tx>
            <strRef>
              <f>'Grafico'!G17</f>
            </strRef>
          </tx>
          <spPr>
            <a:ln>
              <a:prstDash val="solid"/>
            </a:ln>
          </spPr>
          <cat>
            <numRef>
              <f>'Grafico'!$A$18:$A$48</f>
            </numRef>
          </cat>
          <val>
            <numRef>
              <f>'Grafico'!$G$18:$G$48</f>
            </numRef>
          </val>
        </ser>
        <ser>
          <idx val="6"/>
          <order val="6"/>
          <tx>
            <strRef>
              <f>'Grafico'!H17</f>
            </strRef>
          </tx>
          <spPr>
            <a:ln>
              <a:prstDash val="solid"/>
            </a:ln>
          </spPr>
          <cat>
            <numRef>
              <f>'Grafico'!$A$18:$A$48</f>
            </numRef>
          </cat>
          <val>
            <numRef>
              <f>'Grafico'!$H$18:$H$48</f>
            </numRef>
          </val>
        </ser>
        <ser>
          <idx val="7"/>
          <order val="7"/>
          <tx>
            <strRef>
              <f>'Grafico'!I17</f>
            </strRef>
          </tx>
          <spPr>
            <a:ln>
              <a:prstDash val="solid"/>
            </a:ln>
          </spPr>
          <cat>
            <numRef>
              <f>'Grafico'!$A$18:$A$48</f>
            </numRef>
          </cat>
          <val>
            <numRef>
              <f>'Grafico'!$I$18:$I$48</f>
            </numRef>
          </val>
        </ser>
        <ser>
          <idx val="8"/>
          <order val="8"/>
          <tx>
            <strRef>
              <f>'Grafico'!J17</f>
            </strRef>
          </tx>
          <spPr>
            <a:ln>
              <a:prstDash val="solid"/>
            </a:ln>
          </spPr>
          <cat>
            <numRef>
              <f>'Grafico'!$A$18:$A$48</f>
            </numRef>
          </cat>
          <val>
            <numRef>
              <f>'Grafico'!$J$18:$J$48</f>
            </numRef>
          </val>
        </ser>
        <ser>
          <idx val="9"/>
          <order val="9"/>
          <tx>
            <strRef>
              <f>'Grafico'!K17</f>
            </strRef>
          </tx>
          <spPr>
            <a:ln>
              <a:prstDash val="solid"/>
            </a:ln>
          </spPr>
          <cat>
            <numRef>
              <f>'Grafico'!$A$18:$A$48</f>
            </numRef>
          </cat>
          <val>
            <numRef>
              <f>'Grafico'!$K$18:$K$48</f>
            </numRef>
          </val>
        </ser>
        <ser>
          <idx val="10"/>
          <order val="10"/>
          <tx>
            <strRef>
              <f>'Grafico'!L17</f>
            </strRef>
          </tx>
          <spPr>
            <a:ln>
              <a:prstDash val="solid"/>
            </a:ln>
          </spPr>
          <cat>
            <numRef>
              <f>'Grafico'!$A$18:$A$48</f>
            </numRef>
          </cat>
          <val>
            <numRef>
              <f>'Grafico'!$L$18:$L$48</f>
            </numRef>
          </val>
        </ser>
        <ser>
          <idx val="11"/>
          <order val="11"/>
          <tx>
            <strRef>
              <f>'Grafico'!M17</f>
            </strRef>
          </tx>
          <spPr>
            <a:ln>
              <a:prstDash val="solid"/>
            </a:ln>
          </spPr>
          <cat>
            <numRef>
              <f>'Grafico'!$A$18:$A$48</f>
            </numRef>
          </cat>
          <val>
            <numRef>
              <f>'Grafico'!$M$18:$M$48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 milhões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12" customWidth="1" min="2" max="2"/>
  </cols>
  <sheetData>
    <row r="1">
      <c r="A1" s="1" t="inlineStr">
        <is>
          <t>Fatores condicionantes da base monetária — saldo em final de período</t>
        </is>
      </c>
    </row>
    <row r="3">
      <c r="A3" s="2" t="inlineStr">
        <is>
          <t>Campo</t>
        </is>
      </c>
      <c r="B3" s="2" t="inlineStr">
        <is>
          <t>Descrição</t>
        </is>
      </c>
    </row>
    <row r="4" ht="22" customHeight="1">
      <c r="A4" s="3" t="inlineStr">
        <is>
          <t>Gerado em</t>
        </is>
      </c>
      <c r="B4" s="4" t="inlineStr">
        <is>
          <t>06/09/2026 02:21</t>
        </is>
      </c>
    </row>
    <row r="5" ht="22" customHeight="1">
      <c r="A5" s="3" t="inlineStr">
        <is>
          <t>Marker</t>
        </is>
      </c>
      <c r="B5" s="4" t="inlineStr">
        <is>
          <t>fatores-base-monetaria-1995-2025-20260906</t>
        </is>
      </c>
    </row>
    <row r="6" ht="22" customHeight="1">
      <c r="A6" s="3" t="inlineStr">
        <is>
          <t>Fonte</t>
        </is>
      </c>
      <c r="B6" s="4" t="inlineStr">
        <is>
          <t>Banco Central do Brasil — SGS (Departamento de Estatísticas)</t>
        </is>
      </c>
    </row>
    <row r="7" ht="22" customHeight="1">
      <c r="A7" s="3" t="inlineStr">
        <is>
          <t>Unidade publicada</t>
        </is>
      </c>
      <c r="B7" s="4" t="inlineStr">
        <is>
          <t>R$ milhões (séries SGS em R$ mil ÷ 1.000)</t>
        </is>
      </c>
    </row>
    <row r="8" ht="22" customHeight="1">
      <c r="A8" s="3" t="inlineStr">
        <is>
          <t>Cobertura</t>
        </is>
      </c>
      <c r="B8" s="4" t="inlineStr">
        <is>
          <t>1995–2025; último mês disponível: 12/2025</t>
        </is>
      </c>
    </row>
    <row r="9" ht="22" customHeight="1">
      <c r="A9" s="3" t="inlineStr">
        <is>
          <t>Meses na amostra</t>
        </is>
      </c>
      <c r="B9" s="4" t="inlineStr">
        <is>
          <t>373</t>
        </is>
      </c>
    </row>
    <row r="10" ht="52" customHeight="1">
      <c r="A10" s="3" t="inlineStr">
        <is>
          <t>O que é um fator condicionante</t>
        </is>
      </c>
      <c r="B10" s="4" t="inlineStr">
        <is>
          <t>Relação entre o Banco Central e o resto da economia (Tesouro, setor externo, sistema bancário, títulos) que injeta ou recolhe moeda nacional. A soma dos fatores no período é a variação da base monetária restrita.</t>
        </is>
      </c>
    </row>
    <row r="11" ht="52" customHeight="1">
      <c r="A11" s="3" t="inlineStr">
        <is>
          <t>Saldo em final de período</t>
        </is>
      </c>
      <c r="B11" s="4" t="inlineStr">
        <is>
          <t>Nas séries dos fatores, o ponto mensal do SGS é o fluxo daquele mês (contribuição para a variação da base), não o estoque da conta. Na base monetária (1788/1786/1787) o ponto é o estoque no último dia do mês. A aba Anual soma os fluxos de janeiro a dezembro de cada ano e mostra o estoque de fim de período. A variação de 1995 usa o estoque de dezembro/1994.</t>
        </is>
      </c>
    </row>
    <row r="12" ht="52" customHeight="1">
      <c r="A12" s="3" t="inlineStr">
        <is>
          <t>Identidade</t>
        </is>
      </c>
      <c r="B12" s="4" t="inlineStr">
        <is>
          <t>Σ fatores_t = Base_t − Base_{t−1}. Primário (29004) + secundário (29006) = total de títulos (1809), a partir de 2015. Primário e secundário não entram de novo na soma. O mensal de derivativos (12487) e o das linhas LTEL (28724) nascem um mês depois das séries diárias 12485 e 28723; o fechamento diário preenche esse primeiro mês (mai/2002 e abr/2020). Na década de 1990 entram também assistência financeira (1812), PROER (1813), PROES (1814) e depósitos de fundos (1816) — fatores descontinuados, sem os quais a identidade não fecha em 1996–1999.</t>
        </is>
      </c>
    </row>
    <row r="13" ht="52" customHeight="1">
      <c r="A13" s="3" t="inlineStr">
        <is>
          <t>Sinal</t>
        </is>
      </c>
      <c r="B13" s="4" t="inlineStr">
        <is>
          <t>Valor positivo = expansão da base; negativo = contração. Ex.: recolhimento para a Conta Única ou venda líquida de títulos no open market entram com sinal negativo.</t>
        </is>
      </c>
    </row>
    <row r="14" ht="52" customHeight="1">
      <c r="A14" s="3" t="inlineStr">
        <is>
          <t>Abas</t>
        </is>
      </c>
      <c r="B14" s="4" t="inlineStr">
        <is>
          <t>Discriminativo — um ano por linha, um fator por coluna, e a coluna «Variação da base monetária» = soma algébrica dos fatores oficiais (fórmula Excel SOMA, sem primário/secundário). Anual — a mesma informação transposta (fatores nas linhas). Dezembro — fluxo só do mês de dezembro. Mensal — painel completo. Identidade — resíduo mês a mês.</t>
        </is>
      </c>
    </row>
    <row r="15" ht="52" customHeight="1">
      <c r="A15" s="3" t="inlineStr">
        <is>
          <t>Séries SGS</t>
        </is>
      </c>
      <c r="B15" s="4" t="inlineStr">
        <is>
          <t>1810 Tesouro Nacional — Conta única ; 1811 Operações com o setor externo ; 1809 Operações com títulos públicos federais — Total ; 29004 Títulos — mercado primário ; 29006 Títulos — mercado secundário ; 1815 Depósitos de instituições financeiras ; 1816 Depósitos de fundos de investimento ; 1812 Assistência financeira ; 1813 PROER ; 1814 PROES ; 12484 Redesconto do Banco Central ; 12487 Operações com derivativos — ajustes ; 28724 Linhas temporárias especiais de liquidez ; 1818 Autoridade Monetária — Outras operações ; 1788 Base monetária restrita ; 1786 Papel-moeda em circulação ; 1787 Reservas bancárias</t>
        </is>
      </c>
    </row>
    <row r="16" ht="52" customHeight="1">
      <c r="A16" s="3" t="inlineStr">
        <is>
          <t>1995–2025</t>
        </is>
      </c>
      <c r="B16" s="4" t="inlineStr">
        <is>
          <t>Anos civis fechados (dezembro). O Real já é a unidade em todo o painel (Plano Real em julho/1994). Assistência financeira, PROER, PROES e depósitos de fundos cobrem 1995–2000 e depois saem (zero). Derivativos (12487) desde 2002; LTEL (28724) desde 2020; primário/secundário de títulos (29004/29006) desde 2015.</t>
        </is>
      </c>
    </row>
    <row r="17" ht="52" customHeight="1">
      <c r="A17" s="3" t="inlineStr">
        <is>
          <t>Resíduos conhecidos</t>
        </is>
      </c>
      <c r="B17" s="4" t="inlineStr">
        <is>
          <t>Com o catálogo completo, 1996–1999 e 2001–2025 fecham (resíduo anual &lt; R$ 15 milhões). Exceções: 1995 (~R$ 4,2 bilhões em nov/1995, mês de largada do PROER — a série mensal 1813 só começa em dez/1995) e 2000 (~R$ 8 milhões, revisão). 2002 e 2020 fecham após o preenchimento do primeiro mês das séries diárias.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3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8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5" t="inlineStr">
        <is>
          <t>Discriminativo — fatores que influenciam a base monetária (1995–2025)</t>
        </is>
      </c>
    </row>
    <row r="2" ht="36" customHeight="1">
      <c r="A2" s="6" t="inlineStr">
        <is>
          <t>Cada linha é um ano. As colunas dos fatores são o fluxo acumulado no ano (R$ milhões). A coluna «Variação da base monetária» é a soma algébrica dos fatores oficiais (fórmula SOMA; primário e secundário são detalhe do total de títulos e não entram de novo). Anos civis fechados até dezembro. Valores negativos: sinal − em vermelho negrito, com fundo vermelho.</t>
        </is>
      </c>
    </row>
    <row r="4" ht="42" customHeight="1">
      <c r="A4" s="2" t="inlineStr">
        <is>
          <t>Ano</t>
        </is>
      </c>
      <c r="B4" s="2" t="inlineStr">
        <is>
          <t>Tesouro Nacional — Conta única</t>
        </is>
      </c>
      <c r="C4" s="2" t="inlineStr">
        <is>
          <t>Operações com o setor externo</t>
        </is>
      </c>
      <c r="D4" s="2" t="inlineStr">
        <is>
          <t>Operações com títulos públicos federais — Total</t>
        </is>
      </c>
      <c r="E4" s="2" t="inlineStr">
        <is>
          <t>Depósitos de instituições financeiras</t>
        </is>
      </c>
      <c r="F4" s="2" t="inlineStr">
        <is>
          <t>Depósitos de fundos de investimento</t>
        </is>
      </c>
      <c r="G4" s="2" t="inlineStr">
        <is>
          <t>Assistência financeira</t>
        </is>
      </c>
      <c r="H4" s="2" t="inlineStr">
        <is>
          <t>PROER</t>
        </is>
      </c>
      <c r="I4" s="2" t="inlineStr">
        <is>
          <t>PROES</t>
        </is>
      </c>
      <c r="J4" s="2" t="inlineStr">
        <is>
          <t>Redesconto do Banco Central</t>
        </is>
      </c>
      <c r="K4" s="2" t="inlineStr">
        <is>
          <t>Operações com derivativos — ajustes</t>
        </is>
      </c>
      <c r="L4" s="2" t="inlineStr">
        <is>
          <t>Linhas temporárias especiais de liquidez</t>
        </is>
      </c>
      <c r="M4" s="2" t="inlineStr">
        <is>
          <t>Autoridade Monetária — Outras operações</t>
        </is>
      </c>
      <c r="N4" s="2" t="inlineStr">
        <is>
          <t>Variação da base monetária</t>
        </is>
      </c>
      <c r="O4" s="2" t="inlineStr">
        <is>
          <t>Títulos — mercado primário</t>
        </is>
      </c>
      <c r="P4" s="2" t="inlineStr">
        <is>
          <t>Títulos — mercado secundário</t>
        </is>
      </c>
      <c r="Q4" s="2" t="inlineStr">
        <is>
          <t>Base monetária restrita</t>
        </is>
      </c>
      <c r="R4" s="2" t="inlineStr">
        <is>
          <t>Papel-moeda em circulação</t>
        </is>
      </c>
      <c r="S4" s="2" t="inlineStr">
        <is>
          <t>Reservas bancárias</t>
        </is>
      </c>
    </row>
    <row r="5">
      <c r="A5" s="7" t="inlineStr">
        <is>
          <t>1995</t>
        </is>
      </c>
      <c r="B5" s="8" t="n">
        <v>-3979.704</v>
      </c>
      <c r="C5" s="9" t="n">
        <v>14900.094</v>
      </c>
      <c r="D5" s="8" t="n">
        <v>-14604.987</v>
      </c>
      <c r="E5" s="9" t="n">
        <v>4075.931</v>
      </c>
      <c r="F5" s="8" t="n">
        <v>-1708.048</v>
      </c>
      <c r="G5" s="8" t="n">
        <v>-3272.506</v>
      </c>
      <c r="H5" s="9" t="n">
        <v>1418</v>
      </c>
      <c r="I5" s="10" t="n">
        <v>0</v>
      </c>
      <c r="J5" s="10" t="n">
        <v>0</v>
      </c>
      <c r="K5" s="10" t="n">
        <v>0</v>
      </c>
      <c r="L5" s="10" t="n">
        <v>0</v>
      </c>
      <c r="M5" s="9" t="n">
        <v>2977.769</v>
      </c>
      <c r="N5" s="8">
        <f>SUM(B5:M5)</f>
        <v/>
      </c>
      <c r="O5" s="10" t="n">
        <v>0</v>
      </c>
      <c r="P5" s="10" t="n">
        <v>0</v>
      </c>
      <c r="Q5" s="11" t="n">
        <v>21681.591</v>
      </c>
      <c r="R5" s="11" t="n">
        <v>13770.097</v>
      </c>
      <c r="S5" s="11" t="n">
        <v>7911.494</v>
      </c>
    </row>
    <row r="6">
      <c r="A6" s="12" t="inlineStr">
        <is>
          <t>1996</t>
        </is>
      </c>
      <c r="B6" s="9" t="n">
        <v>5513.388</v>
      </c>
      <c r="C6" s="9" t="n">
        <v>9988.201999999999</v>
      </c>
      <c r="D6" s="8" t="n">
        <v>-29670.499</v>
      </c>
      <c r="E6" s="8" t="n">
        <v>-2146.231</v>
      </c>
      <c r="F6" s="8" t="n">
        <v>-6479.729</v>
      </c>
      <c r="G6" s="9" t="n">
        <v>2149.341</v>
      </c>
      <c r="H6" s="9" t="n">
        <v>8732.473</v>
      </c>
      <c r="I6" s="10" t="n">
        <v>0</v>
      </c>
      <c r="J6" s="10" t="n">
        <v>0</v>
      </c>
      <c r="K6" s="10" t="n">
        <v>0</v>
      </c>
      <c r="L6" s="10" t="n">
        <v>0</v>
      </c>
      <c r="M6" s="9" t="n">
        <v>10027.648</v>
      </c>
      <c r="N6" s="8">
        <f>SUM(B6:M6)</f>
        <v/>
      </c>
      <c r="O6" s="10" t="n">
        <v>0</v>
      </c>
      <c r="P6" s="10" t="n">
        <v>0</v>
      </c>
      <c r="Q6" s="11" t="n">
        <v>19795.697</v>
      </c>
      <c r="R6" s="11" t="n">
        <v>17187.949</v>
      </c>
      <c r="S6" s="11" t="n">
        <v>2607.748</v>
      </c>
    </row>
    <row r="7">
      <c r="A7" s="7" t="inlineStr">
        <is>
          <t>1997</t>
        </is>
      </c>
      <c r="B7" s="8" t="n">
        <v>-5074.927</v>
      </c>
      <c r="C7" s="8" t="n">
        <v>-9049.683000000001</v>
      </c>
      <c r="D7" s="9" t="n">
        <v>22158.7</v>
      </c>
      <c r="E7" s="8" t="n">
        <v>-8790.445</v>
      </c>
      <c r="F7" s="9" t="n">
        <v>7906.155</v>
      </c>
      <c r="G7" s="8" t="n">
        <v>-3251.477</v>
      </c>
      <c r="H7" s="9" t="n">
        <v>5466.693</v>
      </c>
      <c r="I7" s="9" t="n">
        <v>953.876</v>
      </c>
      <c r="J7" s="10" t="n">
        <v>0</v>
      </c>
      <c r="K7" s="10" t="n">
        <v>0</v>
      </c>
      <c r="L7" s="10" t="n">
        <v>0</v>
      </c>
      <c r="M7" s="9" t="n">
        <v>1698.923</v>
      </c>
      <c r="N7" s="13">
        <f>SUM(B7:M7)</f>
        <v/>
      </c>
      <c r="O7" s="10" t="n">
        <v>0</v>
      </c>
      <c r="P7" s="10" t="n">
        <v>0</v>
      </c>
      <c r="Q7" s="11" t="n">
        <v>31828.332</v>
      </c>
      <c r="R7" s="11" t="n">
        <v>20250.732</v>
      </c>
      <c r="S7" s="11" t="n">
        <v>11577.6</v>
      </c>
    </row>
    <row r="8">
      <c r="A8" s="12" t="inlineStr">
        <is>
          <t>1998</t>
        </is>
      </c>
      <c r="B8" s="8" t="n">
        <v>-15106.533</v>
      </c>
      <c r="C8" s="8" t="n">
        <v>-21429.065</v>
      </c>
      <c r="D8" s="9" t="n">
        <v>27854.801</v>
      </c>
      <c r="E8" s="9" t="n">
        <v>20282.878</v>
      </c>
      <c r="F8" s="8" t="n">
        <v>-819.634</v>
      </c>
      <c r="G8" s="8" t="n">
        <v>-3427.004</v>
      </c>
      <c r="H8" s="8" t="n">
        <v>-200.948</v>
      </c>
      <c r="I8" s="9" t="n">
        <v>16.96</v>
      </c>
      <c r="J8" s="10" t="n">
        <v>0</v>
      </c>
      <c r="K8" s="10" t="n">
        <v>0</v>
      </c>
      <c r="L8" s="10" t="n">
        <v>0</v>
      </c>
      <c r="M8" s="9" t="n">
        <v>179.863</v>
      </c>
      <c r="N8" s="13">
        <f>SUM(B8:M8)</f>
        <v/>
      </c>
      <c r="O8" s="10" t="n">
        <v>0</v>
      </c>
      <c r="P8" s="10" t="n">
        <v>0</v>
      </c>
      <c r="Q8" s="11" t="n">
        <v>39184.378</v>
      </c>
      <c r="R8" s="11" t="n">
        <v>24166.79</v>
      </c>
      <c r="S8" s="11" t="n">
        <v>15017.588</v>
      </c>
    </row>
    <row r="9">
      <c r="A9" s="7" t="inlineStr">
        <is>
          <t>1999</t>
        </is>
      </c>
      <c r="B9" s="8" t="n">
        <v>-15563.288</v>
      </c>
      <c r="C9" s="8" t="n">
        <v>-14877.571</v>
      </c>
      <c r="D9" s="9" t="n">
        <v>34925.161</v>
      </c>
      <c r="E9" s="9" t="n">
        <v>2114.291</v>
      </c>
      <c r="F9" s="9" t="n">
        <v>4545.796</v>
      </c>
      <c r="G9" s="8" t="n">
        <v>-1726.247</v>
      </c>
      <c r="H9" s="10" t="n">
        <v>0</v>
      </c>
      <c r="I9" s="8" t="n">
        <v>-212.208</v>
      </c>
      <c r="J9" s="10" t="n">
        <v>0</v>
      </c>
      <c r="K9" s="10" t="n">
        <v>0</v>
      </c>
      <c r="L9" s="10" t="n">
        <v>0</v>
      </c>
      <c r="M9" s="9" t="n">
        <v>32.201</v>
      </c>
      <c r="N9" s="13">
        <f>SUM(B9:M9)</f>
        <v/>
      </c>
      <c r="O9" s="10" t="n">
        <v>0</v>
      </c>
      <c r="P9" s="10" t="n">
        <v>0</v>
      </c>
      <c r="Q9" s="11" t="n">
        <v>48430.157</v>
      </c>
      <c r="R9" s="11" t="n">
        <v>29837.941</v>
      </c>
      <c r="S9" s="11" t="n">
        <v>18592.216</v>
      </c>
    </row>
    <row r="10">
      <c r="A10" s="12" t="inlineStr">
        <is>
          <t>2000</t>
        </is>
      </c>
      <c r="B10" s="8" t="n">
        <v>-26539.148</v>
      </c>
      <c r="C10" s="9" t="n">
        <v>4402.641</v>
      </c>
      <c r="D10" s="9" t="n">
        <v>21398.839</v>
      </c>
      <c r="E10" s="9" t="n">
        <v>1478.559</v>
      </c>
      <c r="F10" s="10" t="n">
        <v>0</v>
      </c>
      <c r="G10" s="10" t="n">
        <v>0</v>
      </c>
      <c r="H10" s="10" t="n">
        <v>0</v>
      </c>
      <c r="I10" s="8" t="n">
        <v>-22.603</v>
      </c>
      <c r="J10" s="8" t="n">
        <v>-614.971</v>
      </c>
      <c r="K10" s="10" t="n">
        <v>0</v>
      </c>
      <c r="L10" s="10" t="n">
        <v>0</v>
      </c>
      <c r="M10" s="8" t="n">
        <v>-839.2619999999999</v>
      </c>
      <c r="N10" s="8">
        <f>SUM(B10:M10)</f>
        <v/>
      </c>
      <c r="O10" s="10" t="n">
        <v>0</v>
      </c>
      <c r="P10" s="10" t="n">
        <v>0</v>
      </c>
      <c r="Q10" s="11" t="n">
        <v>47686.213</v>
      </c>
      <c r="R10" s="11" t="n">
        <v>32633.056</v>
      </c>
      <c r="S10" s="11" t="n">
        <v>15053.157</v>
      </c>
    </row>
    <row r="11">
      <c r="A11" s="7" t="inlineStr">
        <is>
          <t>2001</t>
        </is>
      </c>
      <c r="B11" s="8" t="n">
        <v>-11944.926</v>
      </c>
      <c r="C11" s="8" t="n">
        <v>-18572.367</v>
      </c>
      <c r="D11" s="9" t="n">
        <v>41318.272</v>
      </c>
      <c r="E11" s="8" t="n">
        <v>-1806.911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0</v>
      </c>
      <c r="M11" s="8" t="n">
        <v>-3424.281</v>
      </c>
      <c r="N11" s="13">
        <f>SUM(B11:M11)</f>
        <v/>
      </c>
      <c r="O11" s="10" t="n">
        <v>0</v>
      </c>
      <c r="P11" s="10" t="n">
        <v>0</v>
      </c>
      <c r="Q11" s="11" t="n">
        <v>53255.971</v>
      </c>
      <c r="R11" s="11" t="n">
        <v>37668.836</v>
      </c>
      <c r="S11" s="11" t="n">
        <v>15587.135</v>
      </c>
    </row>
    <row r="12">
      <c r="A12" s="12" t="inlineStr">
        <is>
          <t>2002</t>
        </is>
      </c>
      <c r="B12" s="8" t="n">
        <v>-20483.697</v>
      </c>
      <c r="C12" s="8" t="n">
        <v>-26426.605</v>
      </c>
      <c r="D12" s="9" t="n">
        <v>90722.091</v>
      </c>
      <c r="E12" s="8" t="n">
        <v>-33769.655</v>
      </c>
      <c r="F12" s="10" t="n">
        <v>0</v>
      </c>
      <c r="G12" s="10" t="n">
        <v>0</v>
      </c>
      <c r="H12" s="10" t="n">
        <v>0</v>
      </c>
      <c r="I12" s="10" t="n">
        <v>0</v>
      </c>
      <c r="J12" s="9" t="n">
        <v>400.375</v>
      </c>
      <c r="K12" s="9" t="n">
        <v>10942.004</v>
      </c>
      <c r="L12" s="10" t="n">
        <v>0</v>
      </c>
      <c r="M12" s="8" t="n">
        <v>-1338.211</v>
      </c>
      <c r="N12" s="13">
        <f>SUM(B12:M12)</f>
        <v/>
      </c>
      <c r="O12" s="10" t="n">
        <v>0</v>
      </c>
      <c r="P12" s="10" t="n">
        <v>0</v>
      </c>
      <c r="Q12" s="11" t="n">
        <v>73302.272</v>
      </c>
      <c r="R12" s="11" t="n">
        <v>49931.066</v>
      </c>
      <c r="S12" s="11" t="n">
        <v>23371.206</v>
      </c>
    </row>
    <row r="13">
      <c r="A13" s="7" t="inlineStr">
        <is>
          <t>2003</t>
        </is>
      </c>
      <c r="B13" s="8" t="n">
        <v>-1064.493</v>
      </c>
      <c r="C13" s="9" t="n">
        <v>643.224</v>
      </c>
      <c r="D13" s="9" t="n">
        <v>11180.802</v>
      </c>
      <c r="E13" s="9" t="n">
        <v>6729.147</v>
      </c>
      <c r="F13" s="10" t="n">
        <v>0</v>
      </c>
      <c r="G13" s="10" t="n">
        <v>0</v>
      </c>
      <c r="H13" s="10" t="n">
        <v>0</v>
      </c>
      <c r="I13" s="10" t="n">
        <v>0</v>
      </c>
      <c r="J13" s="9" t="n">
        <v>2.247</v>
      </c>
      <c r="K13" s="8" t="n">
        <v>-15632.065</v>
      </c>
      <c r="L13" s="10" t="n">
        <v>0</v>
      </c>
      <c r="M13" s="8" t="n">
        <v>-1941.998</v>
      </c>
      <c r="N13" s="8">
        <f>SUM(B13:M13)</f>
        <v/>
      </c>
      <c r="O13" s="10" t="n">
        <v>0</v>
      </c>
      <c r="P13" s="10" t="n">
        <v>0</v>
      </c>
      <c r="Q13" s="11" t="n">
        <v>73219.136</v>
      </c>
      <c r="R13" s="11" t="n">
        <v>51363.863</v>
      </c>
      <c r="S13" s="11" t="n">
        <v>21855.273</v>
      </c>
    </row>
    <row r="14">
      <c r="A14" s="12" t="inlineStr">
        <is>
          <t>2004</t>
        </is>
      </c>
      <c r="B14" s="8" t="n">
        <v>-48292.47</v>
      </c>
      <c r="C14" s="9" t="n">
        <v>14556.008</v>
      </c>
      <c r="D14" s="9" t="n">
        <v>57838.483</v>
      </c>
      <c r="E14" s="8" t="n">
        <v>-2400.391</v>
      </c>
      <c r="F14" s="10" t="n">
        <v>0</v>
      </c>
      <c r="G14" s="10" t="n">
        <v>0</v>
      </c>
      <c r="H14" s="10" t="n">
        <v>0</v>
      </c>
      <c r="I14" s="10" t="n">
        <v>0</v>
      </c>
      <c r="J14" s="8" t="n">
        <v>-7.14</v>
      </c>
      <c r="K14" s="8" t="n">
        <v>-6032.014</v>
      </c>
      <c r="L14" s="10" t="n">
        <v>0</v>
      </c>
      <c r="M14" s="8" t="n">
        <v>-148.935</v>
      </c>
      <c r="N14" s="13">
        <f>SUM(B14:M14)</f>
        <v/>
      </c>
      <c r="O14" s="10" t="n">
        <v>0</v>
      </c>
      <c r="P14" s="10" t="n">
        <v>0</v>
      </c>
      <c r="Q14" s="11" t="n">
        <v>88732.677</v>
      </c>
      <c r="R14" s="11" t="n">
        <v>61935.635</v>
      </c>
      <c r="S14" s="11" t="n">
        <v>26797.042</v>
      </c>
    </row>
    <row r="15">
      <c r="A15" s="7" t="inlineStr">
        <is>
          <t>2005</t>
        </is>
      </c>
      <c r="B15" s="8" t="n">
        <v>-43007.731</v>
      </c>
      <c r="C15" s="9" t="n">
        <v>52394.883</v>
      </c>
      <c r="D15" s="9" t="n">
        <v>2808.482</v>
      </c>
      <c r="E15" s="9" t="n">
        <v>2373.784</v>
      </c>
      <c r="F15" s="10" t="n">
        <v>0</v>
      </c>
      <c r="G15" s="10" t="n">
        <v>0</v>
      </c>
      <c r="H15" s="10" t="n">
        <v>0</v>
      </c>
      <c r="I15" s="10" t="n">
        <v>0</v>
      </c>
      <c r="J15" s="8" t="n">
        <v>-3.343</v>
      </c>
      <c r="K15" s="8" t="n">
        <v>-2684.423</v>
      </c>
      <c r="L15" s="10" t="n">
        <v>0</v>
      </c>
      <c r="M15" s="9" t="n">
        <v>632.9059999999999</v>
      </c>
      <c r="N15" s="13">
        <f>SUM(B15:M15)</f>
        <v/>
      </c>
      <c r="O15" s="10" t="n">
        <v>0</v>
      </c>
      <c r="P15" s="10" t="n">
        <v>0</v>
      </c>
      <c r="Q15" s="11" t="n">
        <v>101247.235</v>
      </c>
      <c r="R15" s="11" t="n">
        <v>70033.641</v>
      </c>
      <c r="S15" s="11" t="n">
        <v>31213.594</v>
      </c>
    </row>
    <row r="16">
      <c r="A16" s="12" t="inlineStr">
        <is>
          <t>2006</t>
        </is>
      </c>
      <c r="B16" s="8" t="n">
        <v>-59510.709</v>
      </c>
      <c r="C16" s="9" t="n">
        <v>74368.942</v>
      </c>
      <c r="D16" s="8" t="n">
        <v>-686.574</v>
      </c>
      <c r="E16" s="8" t="n">
        <v>-764.37</v>
      </c>
      <c r="F16" s="10" t="n">
        <v>0</v>
      </c>
      <c r="G16" s="10" t="n">
        <v>0</v>
      </c>
      <c r="H16" s="10" t="n">
        <v>0</v>
      </c>
      <c r="I16" s="10" t="n">
        <v>0</v>
      </c>
      <c r="J16" s="8" t="n">
        <v>-1.476</v>
      </c>
      <c r="K16" s="9" t="n">
        <v>5436.454</v>
      </c>
      <c r="L16" s="10" t="n">
        <v>0</v>
      </c>
      <c r="M16" s="9" t="n">
        <v>1012.499</v>
      </c>
      <c r="N16" s="13">
        <f>SUM(B16:M16)</f>
        <v/>
      </c>
      <c r="O16" s="10" t="n">
        <v>0</v>
      </c>
      <c r="P16" s="10" t="n">
        <v>0</v>
      </c>
      <c r="Q16" s="11" t="n">
        <v>121102.001</v>
      </c>
      <c r="R16" s="11" t="n">
        <v>85824.753</v>
      </c>
      <c r="S16" s="11" t="n">
        <v>35277.248</v>
      </c>
    </row>
    <row r="17">
      <c r="A17" s="7" t="inlineStr">
        <is>
          <t>2007</t>
        </is>
      </c>
      <c r="B17" s="8" t="n">
        <v>-55600.882</v>
      </c>
      <c r="C17" s="9" t="n">
        <v>155390.627</v>
      </c>
      <c r="D17" s="8" t="n">
        <v>-73974.527</v>
      </c>
      <c r="E17" s="8" t="n">
        <v>-10600.939</v>
      </c>
      <c r="F17" s="10" t="n">
        <v>0</v>
      </c>
      <c r="G17" s="10" t="n">
        <v>0</v>
      </c>
      <c r="H17" s="10" t="n">
        <v>0</v>
      </c>
      <c r="I17" s="10" t="n">
        <v>0</v>
      </c>
      <c r="J17" s="8" t="n">
        <v>-3.017</v>
      </c>
      <c r="K17" s="9" t="n">
        <v>8812.156000000001</v>
      </c>
      <c r="L17" s="10" t="n">
        <v>0</v>
      </c>
      <c r="M17" s="9" t="n">
        <v>1491.448</v>
      </c>
      <c r="N17" s="13">
        <f>SUM(B17:M17)</f>
        <v/>
      </c>
      <c r="O17" s="10" t="n">
        <v>0</v>
      </c>
      <c r="P17" s="10" t="n">
        <v>0</v>
      </c>
      <c r="Q17" s="11" t="n">
        <v>146616.867</v>
      </c>
      <c r="R17" s="11" t="n">
        <v>102885.047</v>
      </c>
      <c r="S17" s="11" t="n">
        <v>43731.82</v>
      </c>
    </row>
    <row r="18">
      <c r="A18" s="12" t="inlineStr">
        <is>
          <t>2008</t>
        </is>
      </c>
      <c r="B18" s="8" t="n">
        <v>-74312.39599999999</v>
      </c>
      <c r="C18" s="8" t="n">
        <v>-12124.211</v>
      </c>
      <c r="D18" s="9" t="n">
        <v>34058.554</v>
      </c>
      <c r="E18" s="9" t="n">
        <v>57041.22</v>
      </c>
      <c r="F18" s="10" t="n">
        <v>0</v>
      </c>
      <c r="G18" s="10" t="n">
        <v>0</v>
      </c>
      <c r="H18" s="10" t="n">
        <v>0</v>
      </c>
      <c r="I18" s="10" t="n">
        <v>0</v>
      </c>
      <c r="J18" s="8" t="n">
        <v>-1.073</v>
      </c>
      <c r="K18" s="8" t="n">
        <v>-4801.25</v>
      </c>
      <c r="L18" s="10" t="n">
        <v>0</v>
      </c>
      <c r="M18" s="9" t="n">
        <v>1071.994</v>
      </c>
      <c r="N18" s="13">
        <f>SUM(B18:M18)</f>
        <v/>
      </c>
      <c r="O18" s="10" t="n">
        <v>0</v>
      </c>
      <c r="P18" s="10" t="n">
        <v>0</v>
      </c>
      <c r="Q18" s="11" t="n">
        <v>147549.705</v>
      </c>
      <c r="R18" s="11" t="n">
        <v>115590.704</v>
      </c>
      <c r="S18" s="11" t="n">
        <v>31959.001</v>
      </c>
    </row>
    <row r="19">
      <c r="A19" s="7" t="inlineStr">
        <is>
          <t>2009</t>
        </is>
      </c>
      <c r="B19" s="8" t="n">
        <v>-52311.507</v>
      </c>
      <c r="C19" s="9" t="n">
        <v>62936.723</v>
      </c>
      <c r="D19" s="9" t="n">
        <v>11280.602</v>
      </c>
      <c r="E19" s="8" t="n">
        <v>-3425.469</v>
      </c>
      <c r="F19" s="10" t="n">
        <v>0</v>
      </c>
      <c r="G19" s="10" t="n">
        <v>0</v>
      </c>
      <c r="H19" s="10" t="n">
        <v>0</v>
      </c>
      <c r="I19" s="10" t="n">
        <v>0</v>
      </c>
      <c r="J19" s="8" t="n">
        <v>-1.181</v>
      </c>
      <c r="K19" s="8" t="n">
        <v>-3198.916</v>
      </c>
      <c r="L19" s="10" t="n">
        <v>0</v>
      </c>
      <c r="M19" s="9" t="n">
        <v>3242.878</v>
      </c>
      <c r="N19" s="13">
        <f>SUM(B19:M19)</f>
        <v/>
      </c>
      <c r="O19" s="10" t="n">
        <v>0</v>
      </c>
      <c r="P19" s="10" t="n">
        <v>0</v>
      </c>
      <c r="Q19" s="11" t="n">
        <v>166072.835</v>
      </c>
      <c r="R19" s="11" t="n">
        <v>131861.185</v>
      </c>
      <c r="S19" s="11" t="n">
        <v>34211.65</v>
      </c>
    </row>
    <row r="20">
      <c r="A20" s="12" t="inlineStr">
        <is>
          <t>2010</t>
        </is>
      </c>
      <c r="B20" s="8" t="n">
        <v>-51203.673</v>
      </c>
      <c r="C20" s="9" t="n">
        <v>75552.632</v>
      </c>
      <c r="D20" s="9" t="n">
        <v>249513.458</v>
      </c>
      <c r="E20" s="8" t="n">
        <v>-236911.071</v>
      </c>
      <c r="F20" s="10" t="n">
        <v>0</v>
      </c>
      <c r="G20" s="10" t="n">
        <v>0</v>
      </c>
      <c r="H20" s="10" t="n">
        <v>0</v>
      </c>
      <c r="I20" s="10" t="n">
        <v>0</v>
      </c>
      <c r="J20" s="8" t="n">
        <v>-0.539</v>
      </c>
      <c r="K20" s="10" t="n">
        <v>0</v>
      </c>
      <c r="L20" s="10" t="n">
        <v>0</v>
      </c>
      <c r="M20" s="9" t="n">
        <v>3829.68</v>
      </c>
      <c r="N20" s="13">
        <f>SUM(B20:M20)</f>
        <v/>
      </c>
      <c r="O20" s="10" t="n">
        <v>0</v>
      </c>
      <c r="P20" s="10" t="n">
        <v>0</v>
      </c>
      <c r="Q20" s="11" t="n">
        <v>206853.322</v>
      </c>
      <c r="R20" s="11" t="n">
        <v>151145.368</v>
      </c>
      <c r="S20" s="11" t="n">
        <v>55707.954</v>
      </c>
    </row>
    <row r="21">
      <c r="A21" s="7" t="inlineStr">
        <is>
          <t>2011</t>
        </is>
      </c>
      <c r="B21" s="8" t="n">
        <v>-125632.863</v>
      </c>
      <c r="C21" s="9" t="n">
        <v>85156.228</v>
      </c>
      <c r="D21" s="9" t="n">
        <v>70196.20299999999</v>
      </c>
      <c r="E21" s="8" t="n">
        <v>-24388.014</v>
      </c>
      <c r="F21" s="10" t="n">
        <v>0</v>
      </c>
      <c r="G21" s="10" t="n">
        <v>0</v>
      </c>
      <c r="H21" s="10" t="n">
        <v>0</v>
      </c>
      <c r="I21" s="10" t="n">
        <v>0</v>
      </c>
      <c r="J21" s="8" t="n">
        <v>-0.5600000000000001</v>
      </c>
      <c r="K21" s="8" t="n">
        <v>-705.683</v>
      </c>
      <c r="L21" s="10" t="n">
        <v>0</v>
      </c>
      <c r="M21" s="9" t="n">
        <v>2756.678</v>
      </c>
      <c r="N21" s="13">
        <f>SUM(B21:M21)</f>
        <v/>
      </c>
      <c r="O21" s="10" t="n">
        <v>0</v>
      </c>
      <c r="P21" s="10" t="n">
        <v>0</v>
      </c>
      <c r="Q21" s="11" t="n">
        <v>214235.311</v>
      </c>
      <c r="R21" s="11" t="n">
        <v>162769.67</v>
      </c>
      <c r="S21" s="11" t="n">
        <v>51465.641</v>
      </c>
    </row>
    <row r="22">
      <c r="A22" s="12" t="inlineStr">
        <is>
          <t>2012</t>
        </is>
      </c>
      <c r="B22" s="8" t="n">
        <v>-121648.972</v>
      </c>
      <c r="C22" s="9" t="n">
        <v>25896.973</v>
      </c>
      <c r="D22" s="9" t="n">
        <v>5653.172</v>
      </c>
      <c r="E22" s="9" t="n">
        <v>118682.701</v>
      </c>
      <c r="F22" s="10" t="n">
        <v>0</v>
      </c>
      <c r="G22" s="10" t="n">
        <v>0</v>
      </c>
      <c r="H22" s="10" t="n">
        <v>0</v>
      </c>
      <c r="I22" s="10" t="n">
        <v>0</v>
      </c>
      <c r="J22" s="9" t="n">
        <v>45.943</v>
      </c>
      <c r="K22" s="8" t="n">
        <v>-1100.801</v>
      </c>
      <c r="L22" s="10" t="n">
        <v>0</v>
      </c>
      <c r="M22" s="8" t="n">
        <v>-8392.875</v>
      </c>
      <c r="N22" s="13">
        <f>SUM(B22:M22)</f>
        <v/>
      </c>
      <c r="O22" s="10" t="n">
        <v>0</v>
      </c>
      <c r="P22" s="10" t="n">
        <v>0</v>
      </c>
      <c r="Q22" s="11" t="n">
        <v>233371.452</v>
      </c>
      <c r="R22" s="11" t="n">
        <v>187434.736</v>
      </c>
      <c r="S22" s="11" t="n">
        <v>45936.716</v>
      </c>
    </row>
    <row r="23">
      <c r="A23" s="7" t="inlineStr">
        <is>
          <t>2013</t>
        </is>
      </c>
      <c r="B23" s="8" t="n">
        <v>-127554.789</v>
      </c>
      <c r="C23" s="8" t="n">
        <v>-22428.624</v>
      </c>
      <c r="D23" s="9" t="n">
        <v>197242.065</v>
      </c>
      <c r="E23" s="8" t="n">
        <v>-19903.346</v>
      </c>
      <c r="F23" s="10" t="n">
        <v>0</v>
      </c>
      <c r="G23" s="10" t="n">
        <v>0</v>
      </c>
      <c r="H23" s="10" t="n">
        <v>0</v>
      </c>
      <c r="I23" s="10" t="n">
        <v>0</v>
      </c>
      <c r="J23" s="8" t="n">
        <v>-1.675</v>
      </c>
      <c r="K23" s="9" t="n">
        <v>1314.564</v>
      </c>
      <c r="L23" s="10" t="n">
        <v>0</v>
      </c>
      <c r="M23" s="8" t="n">
        <v>-12532.941</v>
      </c>
      <c r="N23" s="13">
        <f>SUM(B23:M23)</f>
        <v/>
      </c>
      <c r="O23" s="10" t="n">
        <v>0</v>
      </c>
      <c r="P23" s="10" t="n">
        <v>0</v>
      </c>
      <c r="Q23" s="11" t="n">
        <v>249509.778</v>
      </c>
      <c r="R23" s="11" t="n">
        <v>204052.42</v>
      </c>
      <c r="S23" s="11" t="n">
        <v>45457.358</v>
      </c>
    </row>
    <row r="24">
      <c r="A24" s="12" t="inlineStr">
        <is>
          <t>2014</t>
        </is>
      </c>
      <c r="B24" s="8" t="n">
        <v>-668.486</v>
      </c>
      <c r="C24" s="9" t="n">
        <v>16274.839</v>
      </c>
      <c r="D24" s="8" t="n">
        <v>-76307.204</v>
      </c>
      <c r="E24" s="9" t="n">
        <v>56163.369</v>
      </c>
      <c r="F24" s="10" t="n">
        <v>0</v>
      </c>
      <c r="G24" s="10" t="n">
        <v>0</v>
      </c>
      <c r="H24" s="10" t="n">
        <v>0</v>
      </c>
      <c r="I24" s="10" t="n">
        <v>0</v>
      </c>
      <c r="J24" s="8" t="n">
        <v>-0.045</v>
      </c>
      <c r="K24" s="9" t="n">
        <v>17329.053</v>
      </c>
      <c r="L24" s="10" t="n">
        <v>0</v>
      </c>
      <c r="M24" s="9" t="n">
        <v>1227.406</v>
      </c>
      <c r="N24" s="13">
        <f>SUM(B24:M24)</f>
        <v/>
      </c>
      <c r="O24" s="10" t="n">
        <v>0</v>
      </c>
      <c r="P24" s="10" t="n">
        <v>0</v>
      </c>
      <c r="Q24" s="11" t="n">
        <v>263528.517</v>
      </c>
      <c r="R24" s="11" t="n">
        <v>220853.706</v>
      </c>
      <c r="S24" s="11" t="n">
        <v>42674.811</v>
      </c>
    </row>
    <row r="25">
      <c r="A25" s="7" t="inlineStr">
        <is>
          <t>2015</t>
        </is>
      </c>
      <c r="B25" s="9" t="n">
        <v>59665.808</v>
      </c>
      <c r="C25" s="8" t="n">
        <v>-15037.71</v>
      </c>
      <c r="D25" s="8" t="n">
        <v>-124016.063</v>
      </c>
      <c r="E25" s="8" t="n">
        <v>-24740.332</v>
      </c>
      <c r="F25" s="10" t="n">
        <v>0</v>
      </c>
      <c r="G25" s="10" t="n">
        <v>0</v>
      </c>
      <c r="H25" s="10" t="n">
        <v>0</v>
      </c>
      <c r="I25" s="10" t="n">
        <v>0</v>
      </c>
      <c r="J25" s="8" t="n">
        <v>-0.593</v>
      </c>
      <c r="K25" s="9" t="n">
        <v>89657.15300000001</v>
      </c>
      <c r="L25" s="10" t="n">
        <v>0</v>
      </c>
      <c r="M25" s="9" t="n">
        <v>6233.098</v>
      </c>
      <c r="N25" s="8">
        <f>SUM(B25:M25)</f>
        <v/>
      </c>
      <c r="O25" s="8" t="n">
        <v>-123479.463</v>
      </c>
      <c r="P25" s="8" t="n">
        <v>-536.6</v>
      </c>
      <c r="Q25" s="11" t="n">
        <v>255288.922</v>
      </c>
      <c r="R25" s="11" t="n">
        <v>225485.184</v>
      </c>
      <c r="S25" s="11" t="n">
        <v>29803.738</v>
      </c>
    </row>
    <row r="26">
      <c r="A26" s="12" t="inlineStr">
        <is>
          <t>2016</t>
        </is>
      </c>
      <c r="B26" s="9" t="n">
        <v>12284.191</v>
      </c>
      <c r="C26" s="9" t="n">
        <v>32532.733</v>
      </c>
      <c r="D26" s="9" t="n">
        <v>32267.88</v>
      </c>
      <c r="E26" s="9" t="n">
        <v>6054.528</v>
      </c>
      <c r="F26" s="10" t="n">
        <v>0</v>
      </c>
      <c r="G26" s="10" t="n">
        <v>0</v>
      </c>
      <c r="H26" s="10" t="n">
        <v>0</v>
      </c>
      <c r="I26" s="10" t="n">
        <v>0</v>
      </c>
      <c r="J26" s="8" t="n">
        <v>-3.179</v>
      </c>
      <c r="K26" s="8" t="n">
        <v>-75562.37300000001</v>
      </c>
      <c r="L26" s="10" t="n">
        <v>0</v>
      </c>
      <c r="M26" s="9" t="n">
        <v>7424.617</v>
      </c>
      <c r="N26" s="13">
        <f>SUM(B26:M26)</f>
        <v/>
      </c>
      <c r="O26" s="9" t="n">
        <v>31896.944</v>
      </c>
      <c r="P26" s="9" t="n">
        <v>370.936</v>
      </c>
      <c r="Q26" s="11" t="n">
        <v>270287.146</v>
      </c>
      <c r="R26" s="11" t="n">
        <v>232145.593</v>
      </c>
      <c r="S26" s="11" t="n">
        <v>38141.553</v>
      </c>
    </row>
    <row r="27">
      <c r="A27" s="7" t="inlineStr">
        <is>
          <t>2017</t>
        </is>
      </c>
      <c r="B27" s="9" t="n">
        <v>52132.877</v>
      </c>
      <c r="C27" s="9" t="n">
        <v>1396.743</v>
      </c>
      <c r="D27" s="8" t="n">
        <v>-26792.966</v>
      </c>
      <c r="E27" s="9" t="n">
        <v>867.627</v>
      </c>
      <c r="F27" s="10" t="n">
        <v>0</v>
      </c>
      <c r="G27" s="10" t="n">
        <v>0</v>
      </c>
      <c r="H27" s="10" t="n">
        <v>0</v>
      </c>
      <c r="I27" s="10" t="n">
        <v>0</v>
      </c>
      <c r="J27" s="8" t="n">
        <v>-0.181</v>
      </c>
      <c r="K27" s="8" t="n">
        <v>-7032.535</v>
      </c>
      <c r="L27" s="10" t="n">
        <v>0</v>
      </c>
      <c r="M27" s="9" t="n">
        <v>5896.818</v>
      </c>
      <c r="N27" s="13">
        <f>SUM(B27:M27)</f>
        <v/>
      </c>
      <c r="O27" s="8" t="n">
        <v>-111168.532</v>
      </c>
      <c r="P27" s="9" t="n">
        <v>84375.56600000001</v>
      </c>
      <c r="Q27" s="11" t="n">
        <v>296755.456</v>
      </c>
      <c r="R27" s="11" t="n">
        <v>250363.681</v>
      </c>
      <c r="S27" s="11" t="n">
        <v>46391.775</v>
      </c>
    </row>
    <row r="28">
      <c r="A28" s="12" t="inlineStr">
        <is>
          <t>2018</t>
        </is>
      </c>
      <c r="B28" s="8" t="n">
        <v>-44486.13</v>
      </c>
      <c r="C28" s="8" t="n">
        <v>-17348.77</v>
      </c>
      <c r="D28" s="9" t="n">
        <v>35093.592</v>
      </c>
      <c r="E28" s="9" t="n">
        <v>13987.567</v>
      </c>
      <c r="F28" s="10" t="n">
        <v>0</v>
      </c>
      <c r="G28" s="10" t="n">
        <v>0</v>
      </c>
      <c r="H28" s="10" t="n">
        <v>0</v>
      </c>
      <c r="I28" s="10" t="n">
        <v>0</v>
      </c>
      <c r="J28" s="9" t="n">
        <v>13.2</v>
      </c>
      <c r="K28" s="9" t="n">
        <v>15125.016</v>
      </c>
      <c r="L28" s="10" t="n">
        <v>0</v>
      </c>
      <c r="M28" s="9" t="n">
        <v>2909.758</v>
      </c>
      <c r="N28" s="13">
        <f>SUM(B28:M28)</f>
        <v/>
      </c>
      <c r="O28" s="9" t="n">
        <v>32704.358</v>
      </c>
      <c r="P28" s="9" t="n">
        <v>2389.234</v>
      </c>
      <c r="Q28" s="11" t="n">
        <v>302049.461</v>
      </c>
      <c r="R28" s="11" t="n">
        <v>264967.669</v>
      </c>
      <c r="S28" s="11" t="n">
        <v>37081.792</v>
      </c>
    </row>
    <row r="29">
      <c r="A29" s="7" t="inlineStr">
        <is>
          <t>2019</t>
        </is>
      </c>
      <c r="B29" s="8" t="n">
        <v>-89301.052</v>
      </c>
      <c r="C29" s="8" t="n">
        <v>-141168.328</v>
      </c>
      <c r="D29" s="9" t="n">
        <v>227324.959</v>
      </c>
      <c r="E29" s="9" t="n">
        <v>16690.766</v>
      </c>
      <c r="F29" s="10" t="n">
        <v>0</v>
      </c>
      <c r="G29" s="10" t="n">
        <v>0</v>
      </c>
      <c r="H29" s="10" t="n">
        <v>0</v>
      </c>
      <c r="I29" s="10" t="n">
        <v>0</v>
      </c>
      <c r="J29" s="8" t="n">
        <v>-14.549</v>
      </c>
      <c r="K29" s="9" t="n">
        <v>7639.551</v>
      </c>
      <c r="L29" s="10" t="n">
        <v>0</v>
      </c>
      <c r="M29" s="8" t="n">
        <v>-6634.019</v>
      </c>
      <c r="N29" s="13">
        <f>SUM(B29:M29)</f>
        <v/>
      </c>
      <c r="O29" s="8" t="n">
        <v>-15720.656</v>
      </c>
      <c r="P29" s="9" t="n">
        <v>243045.615</v>
      </c>
      <c r="Q29" s="11" t="n">
        <v>316586.707</v>
      </c>
      <c r="R29" s="11" t="n">
        <v>280685.185</v>
      </c>
      <c r="S29" s="11" t="n">
        <v>35901.522</v>
      </c>
    </row>
    <row r="30">
      <c r="A30" s="12" t="inlineStr">
        <is>
          <t>2020</t>
        </is>
      </c>
      <c r="B30" s="9" t="n">
        <v>704194.5379999999</v>
      </c>
      <c r="C30" s="8" t="n">
        <v>-117733.553</v>
      </c>
      <c r="D30" s="8" t="n">
        <v>-630037.433</v>
      </c>
      <c r="E30" s="9" t="n">
        <v>69829.095</v>
      </c>
      <c r="F30" s="10" t="n">
        <v>0</v>
      </c>
      <c r="G30" s="10" t="n">
        <v>0</v>
      </c>
      <c r="H30" s="10" t="n">
        <v>0</v>
      </c>
      <c r="I30" s="10" t="n">
        <v>0</v>
      </c>
      <c r="J30" s="9" t="n">
        <v>3.485</v>
      </c>
      <c r="K30" s="9" t="n">
        <v>40800.821</v>
      </c>
      <c r="L30" s="9" t="n">
        <v>67236.04399999999</v>
      </c>
      <c r="M30" s="8" t="n">
        <v>-19343.055</v>
      </c>
      <c r="N30" s="13">
        <f>SUM(B30:M30)</f>
        <v/>
      </c>
      <c r="O30" s="8" t="n">
        <v>-365463.108</v>
      </c>
      <c r="P30" s="8" t="n">
        <v>-264574.325</v>
      </c>
      <c r="Q30" s="11" t="n">
        <v>431536.653</v>
      </c>
      <c r="R30" s="11" t="n">
        <v>370441.036</v>
      </c>
      <c r="S30" s="11" t="n">
        <v>61095.617</v>
      </c>
    </row>
    <row r="31">
      <c r="A31" s="7" t="inlineStr">
        <is>
          <t>2021</t>
        </is>
      </c>
      <c r="B31" s="8" t="n">
        <v>-81290.481</v>
      </c>
      <c r="C31" s="8" t="n">
        <v>-36630.77</v>
      </c>
      <c r="D31" s="9" t="n">
        <v>182431.271</v>
      </c>
      <c r="E31" s="8" t="n">
        <v>-26059.891</v>
      </c>
      <c r="F31" s="10" t="n">
        <v>0</v>
      </c>
      <c r="G31" s="10" t="n">
        <v>0</v>
      </c>
      <c r="H31" s="10" t="n">
        <v>0</v>
      </c>
      <c r="I31" s="10" t="n">
        <v>0</v>
      </c>
      <c r="J31" s="9" t="n">
        <v>44.99</v>
      </c>
      <c r="K31" s="9" t="n">
        <v>22323.949</v>
      </c>
      <c r="L31" s="8" t="n">
        <v>-52769.578</v>
      </c>
      <c r="M31" s="8" t="n">
        <v>-30402.627</v>
      </c>
      <c r="N31" s="8">
        <f>SUM(B31:M31)</f>
        <v/>
      </c>
      <c r="O31" s="8" t="n">
        <v>-121550.764</v>
      </c>
      <c r="P31" s="9" t="n">
        <v>303982.035</v>
      </c>
      <c r="Q31" s="11" t="n">
        <v>409183.519</v>
      </c>
      <c r="R31" s="11" t="n">
        <v>339013.043</v>
      </c>
      <c r="S31" s="11" t="n">
        <v>70170.476</v>
      </c>
    </row>
    <row r="32">
      <c r="A32" s="12" t="inlineStr">
        <is>
          <t>2022</t>
        </is>
      </c>
      <c r="B32" s="8" t="n">
        <v>-152518.591</v>
      </c>
      <c r="C32" s="8" t="n">
        <v>-56620.783</v>
      </c>
      <c r="D32" s="9" t="n">
        <v>437174.227</v>
      </c>
      <c r="E32" s="8" t="n">
        <v>-54168.5</v>
      </c>
      <c r="F32" s="10" t="n">
        <v>0</v>
      </c>
      <c r="G32" s="10" t="n">
        <v>0</v>
      </c>
      <c r="H32" s="10" t="n">
        <v>0</v>
      </c>
      <c r="I32" s="10" t="n">
        <v>0</v>
      </c>
      <c r="J32" s="8" t="n">
        <v>-27.398</v>
      </c>
      <c r="K32" s="8" t="n">
        <v>-92265.39999999999</v>
      </c>
      <c r="L32" s="9" t="n">
        <v>9097.299000000001</v>
      </c>
      <c r="M32" s="8" t="n">
        <v>-80194.454</v>
      </c>
      <c r="N32" s="13">
        <f>SUM(B32:M32)</f>
        <v/>
      </c>
      <c r="O32" s="9" t="n">
        <v>251182.278</v>
      </c>
      <c r="P32" s="9" t="n">
        <v>185991.949</v>
      </c>
      <c r="Q32" s="11" t="n">
        <v>419659.918</v>
      </c>
      <c r="R32" s="11" t="n">
        <v>342334.138</v>
      </c>
      <c r="S32" s="11" t="n">
        <v>77325.78</v>
      </c>
    </row>
    <row r="33">
      <c r="A33" s="7" t="inlineStr">
        <is>
          <t>2023</t>
        </is>
      </c>
      <c r="B33" s="9" t="n">
        <v>206854.972</v>
      </c>
      <c r="C33" s="9" t="n">
        <v>78236.91</v>
      </c>
      <c r="D33" s="8" t="n">
        <v>-56588.088</v>
      </c>
      <c r="E33" s="8" t="n">
        <v>-45370.899</v>
      </c>
      <c r="F33" s="10" t="n">
        <v>0</v>
      </c>
      <c r="G33" s="10" t="n">
        <v>0</v>
      </c>
      <c r="H33" s="10" t="n">
        <v>0</v>
      </c>
      <c r="I33" s="10" t="n">
        <v>0</v>
      </c>
      <c r="J33" s="8" t="n">
        <v>-29.715</v>
      </c>
      <c r="K33" s="8" t="n">
        <v>-70871.662</v>
      </c>
      <c r="L33" s="8" t="n">
        <v>-33737.198</v>
      </c>
      <c r="M33" s="8" t="n">
        <v>-75435.61500000001</v>
      </c>
      <c r="N33" s="13">
        <f>SUM(B33:M33)</f>
        <v/>
      </c>
      <c r="O33" s="9" t="n">
        <v>73732.46000000001</v>
      </c>
      <c r="P33" s="8" t="n">
        <v>-130320.548</v>
      </c>
      <c r="Q33" s="11" t="n">
        <v>422718.628</v>
      </c>
      <c r="R33" s="11" t="n">
        <v>341616.828</v>
      </c>
      <c r="S33" s="11" t="n">
        <v>81101.8</v>
      </c>
    </row>
    <row r="34">
      <c r="A34" s="12" t="inlineStr">
        <is>
          <t>2024</t>
        </is>
      </c>
      <c r="B34" s="9" t="n">
        <v>65831.935</v>
      </c>
      <c r="C34" s="8" t="n">
        <v>-212477.334</v>
      </c>
      <c r="D34" s="9" t="n">
        <v>158704.826</v>
      </c>
      <c r="E34" s="8" t="n">
        <v>-706.95</v>
      </c>
      <c r="F34" s="10" t="n">
        <v>0</v>
      </c>
      <c r="G34" s="10" t="n">
        <v>0</v>
      </c>
      <c r="H34" s="10" t="n">
        <v>0</v>
      </c>
      <c r="I34" s="10" t="n">
        <v>0</v>
      </c>
      <c r="J34" s="8" t="n">
        <v>-0.788</v>
      </c>
      <c r="K34" s="9" t="n">
        <v>115930.245</v>
      </c>
      <c r="L34" s="8" t="n">
        <v>-0.021</v>
      </c>
      <c r="M34" s="8" t="n">
        <v>-98786.795</v>
      </c>
      <c r="N34" s="13">
        <f>SUM(B34:M34)</f>
        <v/>
      </c>
      <c r="O34" s="9" t="n">
        <v>65135.039</v>
      </c>
      <c r="P34" s="9" t="n">
        <v>93569.787</v>
      </c>
      <c r="Q34" s="11" t="n">
        <v>451213.588</v>
      </c>
      <c r="R34" s="11" t="n">
        <v>355858.101</v>
      </c>
      <c r="S34" s="11" t="n">
        <v>95355.488</v>
      </c>
    </row>
    <row r="35">
      <c r="A35" s="7" t="inlineStr">
        <is>
          <t>2025</t>
        </is>
      </c>
      <c r="B35" s="9" t="n">
        <v>94770.505</v>
      </c>
      <c r="C35" s="9" t="n">
        <v>8357.906000000001</v>
      </c>
      <c r="D35" s="9" t="n">
        <v>54036.513</v>
      </c>
      <c r="E35" s="9" t="n">
        <v>45376.981</v>
      </c>
      <c r="F35" s="10" t="n">
        <v>0</v>
      </c>
      <c r="G35" s="10" t="n">
        <v>0</v>
      </c>
      <c r="H35" s="10" t="n">
        <v>0</v>
      </c>
      <c r="I35" s="10" t="n">
        <v>0</v>
      </c>
      <c r="J35" s="10" t="n">
        <v>0</v>
      </c>
      <c r="K35" s="8" t="n">
        <v>-105895.906</v>
      </c>
      <c r="L35" s="8" t="n">
        <v>-0.024</v>
      </c>
      <c r="M35" s="8" t="n">
        <v>-100762.164</v>
      </c>
      <c r="N35" s="8">
        <f>SUM(B35:M35)</f>
        <v/>
      </c>
      <c r="O35" s="8" t="n">
        <v>-376560.608</v>
      </c>
      <c r="P35" s="9" t="n">
        <v>430597.121</v>
      </c>
      <c r="Q35" s="11" t="n">
        <v>447096.654</v>
      </c>
      <c r="R35" s="11" t="n">
        <v>368625.466</v>
      </c>
      <c r="S35" s="11" t="n">
        <v>78471.18799999999</v>
      </c>
    </row>
    <row r="36">
      <c r="A36" s="14" t="inlineStr">
        <is>
          <t>Total fluxos</t>
        </is>
      </c>
      <c r="B36" s="13">
        <f>SUM(B5:B35)</f>
        <v/>
      </c>
      <c r="C36" s="13">
        <f>SUM(C5:C35)</f>
        <v/>
      </c>
      <c r="D36" s="13">
        <f>SUM(D5:D35)</f>
        <v/>
      </c>
      <c r="E36" s="13">
        <f>SUM(E5:E35)</f>
        <v/>
      </c>
      <c r="F36" s="13">
        <f>SUM(F5:F35)</f>
        <v/>
      </c>
      <c r="G36" s="13">
        <f>SUM(G5:G35)</f>
        <v/>
      </c>
      <c r="H36" s="13">
        <f>SUM(H5:H35)</f>
        <v/>
      </c>
      <c r="I36" s="13">
        <f>SUM(I5:I35)</f>
        <v/>
      </c>
      <c r="J36" s="13">
        <f>SUM(J5:J35)</f>
        <v/>
      </c>
      <c r="K36" s="13">
        <f>SUM(K5:K35)</f>
        <v/>
      </c>
      <c r="L36" s="13">
        <f>SUM(L5:L35)</f>
        <v/>
      </c>
      <c r="M36" s="13">
        <f>SUM(M5:M35)</f>
        <v/>
      </c>
      <c r="N36" s="13">
        <f>SUM(N5:N35)</f>
        <v/>
      </c>
      <c r="O36" s="15" t="n"/>
      <c r="P36" s="15" t="n"/>
      <c r="Q36" s="15" t="n"/>
      <c r="R36" s="15" t="n"/>
      <c r="S36" s="15" t="n"/>
    </row>
    <row r="38">
      <c r="A38" s="16" t="inlineStr">
        <is>
          <t>Valores em R$ milhões. Verde = expansão; vermelho = contração. «Variação da base monetária» = SOMA algébrica das colunas de fatores da mesma linha. Negativos: sinal − vermelho negrito sobre fundo vermelho.</t>
        </is>
      </c>
    </row>
  </sheetData>
  <autoFilter ref="A4:S35"/>
  <mergeCells count="2">
    <mergeCell ref="A2:S2"/>
    <mergeCell ref="A1:S1"/>
  </mergeCells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I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A1" s="5" t="inlineStr">
        <is>
          <t>Fatores condicionantes da base monetária — fluxo no ano e estoque de fim de período</t>
        </is>
      </c>
    </row>
    <row r="2">
      <c r="A2" s="17" t="inlineStr">
        <is>
          <t>Fluxo acumulado de janeiro a dezembro. Estoque da base = último dia de dezembro. Unidade: R$ milhões.</t>
        </is>
      </c>
    </row>
    <row r="4" ht="28" customHeight="1">
      <c r="A4" s="2" t="inlineStr">
        <is>
          <t>Item</t>
        </is>
      </c>
      <c r="B4" s="2" t="inlineStr">
        <is>
          <t>SGS</t>
        </is>
      </c>
      <c r="C4" s="2" t="inlineStr">
        <is>
          <t>1995</t>
        </is>
      </c>
      <c r="D4" s="2" t="inlineStr">
        <is>
          <t>1996</t>
        </is>
      </c>
      <c r="E4" s="2" t="inlineStr">
        <is>
          <t>1997</t>
        </is>
      </c>
      <c r="F4" s="2" t="inlineStr">
        <is>
          <t>1998</t>
        </is>
      </c>
      <c r="G4" s="2" t="inlineStr">
        <is>
          <t>1999</t>
        </is>
      </c>
      <c r="H4" s="2" t="inlineStr">
        <is>
          <t>2000</t>
        </is>
      </c>
      <c r="I4" s="2" t="inlineStr">
        <is>
          <t>2001</t>
        </is>
      </c>
      <c r="J4" s="2" t="inlineStr">
        <is>
          <t>2002</t>
        </is>
      </c>
      <c r="K4" s="2" t="inlineStr">
        <is>
          <t>2003</t>
        </is>
      </c>
      <c r="L4" s="2" t="inlineStr">
        <is>
          <t>2004</t>
        </is>
      </c>
      <c r="M4" s="2" t="inlineStr">
        <is>
          <t>2005</t>
        </is>
      </c>
      <c r="N4" s="2" t="inlineStr">
        <is>
          <t>2006</t>
        </is>
      </c>
      <c r="O4" s="2" t="inlineStr">
        <is>
          <t>2007</t>
        </is>
      </c>
      <c r="P4" s="2" t="inlineStr">
        <is>
          <t>2008</t>
        </is>
      </c>
      <c r="Q4" s="2" t="inlineStr">
        <is>
          <t>2009</t>
        </is>
      </c>
      <c r="R4" s="2" t="inlineStr">
        <is>
          <t>2010</t>
        </is>
      </c>
      <c r="S4" s="2" t="inlineStr">
        <is>
          <t>2011</t>
        </is>
      </c>
      <c r="T4" s="2" t="inlineStr">
        <is>
          <t>2012</t>
        </is>
      </c>
      <c r="U4" s="2" t="inlineStr">
        <is>
          <t>2013</t>
        </is>
      </c>
      <c r="V4" s="2" t="inlineStr">
        <is>
          <t>2014</t>
        </is>
      </c>
      <c r="W4" s="2" t="inlineStr">
        <is>
          <t>2015</t>
        </is>
      </c>
      <c r="X4" s="2" t="inlineStr">
        <is>
          <t>2016</t>
        </is>
      </c>
      <c r="Y4" s="2" t="inlineStr">
        <is>
          <t>2017</t>
        </is>
      </c>
      <c r="Z4" s="2" t="inlineStr">
        <is>
          <t>2018</t>
        </is>
      </c>
      <c r="AA4" s="2" t="inlineStr">
        <is>
          <t>2019</t>
        </is>
      </c>
      <c r="AB4" s="2" t="inlineStr">
        <is>
          <t>2020</t>
        </is>
      </c>
      <c r="AC4" s="2" t="inlineStr">
        <is>
          <t>2021</t>
        </is>
      </c>
      <c r="AD4" s="2" t="inlineStr">
        <is>
          <t>2022</t>
        </is>
      </c>
      <c r="AE4" s="2" t="inlineStr">
        <is>
          <t>2023</t>
        </is>
      </c>
      <c r="AF4" s="2" t="inlineStr">
        <is>
          <t>2024</t>
        </is>
      </c>
      <c r="AG4" s="2" t="inlineStr">
        <is>
          <t>2025</t>
        </is>
      </c>
    </row>
    <row r="5">
      <c r="A5" s="18" t="inlineStr">
        <is>
          <t>Tesouro Nacional — Conta única</t>
        </is>
      </c>
      <c r="B5" s="19" t="inlineStr">
        <is>
          <t>1810</t>
        </is>
      </c>
      <c r="C5" s="8" t="n">
        <v>-3979.704</v>
      </c>
      <c r="D5" s="20" t="n">
        <v>5513.388</v>
      </c>
      <c r="E5" s="8" t="n">
        <v>-5074.927</v>
      </c>
      <c r="F5" s="8" t="n">
        <v>-15106.533</v>
      </c>
      <c r="G5" s="8" t="n">
        <v>-15563.288</v>
      </c>
      <c r="H5" s="8" t="n">
        <v>-26539.148</v>
      </c>
      <c r="I5" s="8" t="n">
        <v>-11944.926</v>
      </c>
      <c r="J5" s="8" t="n">
        <v>-20483.697</v>
      </c>
      <c r="K5" s="8" t="n">
        <v>-1064.493</v>
      </c>
      <c r="L5" s="8" t="n">
        <v>-48292.47</v>
      </c>
      <c r="M5" s="8" t="n">
        <v>-43007.731</v>
      </c>
      <c r="N5" s="8" t="n">
        <v>-59510.709</v>
      </c>
      <c r="O5" s="8" t="n">
        <v>-55600.882</v>
      </c>
      <c r="P5" s="8" t="n">
        <v>-74312.39599999999</v>
      </c>
      <c r="Q5" s="8" t="n">
        <v>-52311.507</v>
      </c>
      <c r="R5" s="8" t="n">
        <v>-51203.673</v>
      </c>
      <c r="S5" s="8" t="n">
        <v>-125632.863</v>
      </c>
      <c r="T5" s="8" t="n">
        <v>-121648.972</v>
      </c>
      <c r="U5" s="8" t="n">
        <v>-127554.789</v>
      </c>
      <c r="V5" s="8" t="n">
        <v>-668.486</v>
      </c>
      <c r="W5" s="20" t="n">
        <v>59665.808</v>
      </c>
      <c r="X5" s="20" t="n">
        <v>12284.191</v>
      </c>
      <c r="Y5" s="20" t="n">
        <v>52132.877</v>
      </c>
      <c r="Z5" s="8" t="n">
        <v>-44486.13</v>
      </c>
      <c r="AA5" s="8" t="n">
        <v>-89301.052</v>
      </c>
      <c r="AB5" s="20" t="n">
        <v>704194.5379999999</v>
      </c>
      <c r="AC5" s="8" t="n">
        <v>-81290.481</v>
      </c>
      <c r="AD5" s="8" t="n">
        <v>-152518.591</v>
      </c>
      <c r="AE5" s="20" t="n">
        <v>206854.972</v>
      </c>
      <c r="AF5" s="20" t="n">
        <v>65831.935</v>
      </c>
      <c r="AG5" s="20" t="n">
        <v>94770.505</v>
      </c>
    </row>
    <row r="6">
      <c r="A6" s="18" t="inlineStr">
        <is>
          <t>Operações com o setor externo</t>
        </is>
      </c>
      <c r="B6" s="19" t="inlineStr">
        <is>
          <t>1811</t>
        </is>
      </c>
      <c r="C6" s="20" t="n">
        <v>14900.094</v>
      </c>
      <c r="D6" s="20" t="n">
        <v>9988.201999999999</v>
      </c>
      <c r="E6" s="8" t="n">
        <v>-9049.683000000001</v>
      </c>
      <c r="F6" s="8" t="n">
        <v>-21429.065</v>
      </c>
      <c r="G6" s="8" t="n">
        <v>-14877.571</v>
      </c>
      <c r="H6" s="20" t="n">
        <v>4402.641</v>
      </c>
      <c r="I6" s="8" t="n">
        <v>-18572.367</v>
      </c>
      <c r="J6" s="8" t="n">
        <v>-26426.605</v>
      </c>
      <c r="K6" s="20" t="n">
        <v>643.224</v>
      </c>
      <c r="L6" s="20" t="n">
        <v>14556.008</v>
      </c>
      <c r="M6" s="20" t="n">
        <v>52394.883</v>
      </c>
      <c r="N6" s="20" t="n">
        <v>74368.942</v>
      </c>
      <c r="O6" s="20" t="n">
        <v>155390.627</v>
      </c>
      <c r="P6" s="8" t="n">
        <v>-12124.211</v>
      </c>
      <c r="Q6" s="20" t="n">
        <v>62936.723</v>
      </c>
      <c r="R6" s="20" t="n">
        <v>75552.632</v>
      </c>
      <c r="S6" s="20" t="n">
        <v>85156.228</v>
      </c>
      <c r="T6" s="20" t="n">
        <v>25896.973</v>
      </c>
      <c r="U6" s="8" t="n">
        <v>-22428.624</v>
      </c>
      <c r="V6" s="20" t="n">
        <v>16274.839</v>
      </c>
      <c r="W6" s="8" t="n">
        <v>-15037.71</v>
      </c>
      <c r="X6" s="20" t="n">
        <v>32532.733</v>
      </c>
      <c r="Y6" s="20" t="n">
        <v>1396.743</v>
      </c>
      <c r="Z6" s="8" t="n">
        <v>-17348.77</v>
      </c>
      <c r="AA6" s="8" t="n">
        <v>-141168.328</v>
      </c>
      <c r="AB6" s="8" t="n">
        <v>-117733.553</v>
      </c>
      <c r="AC6" s="8" t="n">
        <v>-36630.77</v>
      </c>
      <c r="AD6" s="8" t="n">
        <v>-56620.783</v>
      </c>
      <c r="AE6" s="20" t="n">
        <v>78236.91</v>
      </c>
      <c r="AF6" s="8" t="n">
        <v>-212477.334</v>
      </c>
      <c r="AG6" s="20" t="n">
        <v>8357.906000000001</v>
      </c>
    </row>
    <row r="7">
      <c r="A7" s="18" t="inlineStr">
        <is>
          <t>Operações com títulos públicos federais — Total</t>
        </is>
      </c>
      <c r="B7" s="19" t="inlineStr">
        <is>
          <t>1809</t>
        </is>
      </c>
      <c r="C7" s="8" t="n">
        <v>-14604.987</v>
      </c>
      <c r="D7" s="8" t="n">
        <v>-29670.499</v>
      </c>
      <c r="E7" s="20" t="n">
        <v>22158.7</v>
      </c>
      <c r="F7" s="20" t="n">
        <v>27854.801</v>
      </c>
      <c r="G7" s="20" t="n">
        <v>34925.161</v>
      </c>
      <c r="H7" s="20" t="n">
        <v>21398.839</v>
      </c>
      <c r="I7" s="20" t="n">
        <v>41318.272</v>
      </c>
      <c r="J7" s="20" t="n">
        <v>90722.091</v>
      </c>
      <c r="K7" s="20" t="n">
        <v>11180.802</v>
      </c>
      <c r="L7" s="20" t="n">
        <v>57838.483</v>
      </c>
      <c r="M7" s="20" t="n">
        <v>2808.482</v>
      </c>
      <c r="N7" s="8" t="n">
        <v>-686.574</v>
      </c>
      <c r="O7" s="8" t="n">
        <v>-73974.527</v>
      </c>
      <c r="P7" s="20" t="n">
        <v>34058.554</v>
      </c>
      <c r="Q7" s="20" t="n">
        <v>11280.602</v>
      </c>
      <c r="R7" s="20" t="n">
        <v>249513.458</v>
      </c>
      <c r="S7" s="20" t="n">
        <v>70196.20299999999</v>
      </c>
      <c r="T7" s="20" t="n">
        <v>5653.172</v>
      </c>
      <c r="U7" s="20" t="n">
        <v>197242.065</v>
      </c>
      <c r="V7" s="8" t="n">
        <v>-76307.204</v>
      </c>
      <c r="W7" s="8" t="n">
        <v>-124016.063</v>
      </c>
      <c r="X7" s="20" t="n">
        <v>32267.88</v>
      </c>
      <c r="Y7" s="8" t="n">
        <v>-26792.966</v>
      </c>
      <c r="Z7" s="20" t="n">
        <v>35093.592</v>
      </c>
      <c r="AA7" s="20" t="n">
        <v>227324.959</v>
      </c>
      <c r="AB7" s="8" t="n">
        <v>-630037.433</v>
      </c>
      <c r="AC7" s="20" t="n">
        <v>182431.271</v>
      </c>
      <c r="AD7" s="20" t="n">
        <v>437174.227</v>
      </c>
      <c r="AE7" s="8" t="n">
        <v>-56588.088</v>
      </c>
      <c r="AF7" s="20" t="n">
        <v>158704.826</v>
      </c>
      <c r="AG7" s="20" t="n">
        <v>54036.513</v>
      </c>
    </row>
    <row r="8">
      <c r="A8" s="21" t="inlineStr">
        <is>
          <t xml:space="preserve">    Títulos — mercado primário</t>
        </is>
      </c>
      <c r="B8" s="22" t="inlineStr">
        <is>
          <t>29004</t>
        </is>
      </c>
      <c r="C8" s="23" t="n">
        <v>0</v>
      </c>
      <c r="D8" s="23" t="n">
        <v>0</v>
      </c>
      <c r="E8" s="23" t="n">
        <v>0</v>
      </c>
      <c r="F8" s="23" t="n">
        <v>0</v>
      </c>
      <c r="G8" s="23" t="n">
        <v>0</v>
      </c>
      <c r="H8" s="23" t="n">
        <v>0</v>
      </c>
      <c r="I8" s="23" t="n">
        <v>0</v>
      </c>
      <c r="J8" s="23" t="n">
        <v>0</v>
      </c>
      <c r="K8" s="23" t="n">
        <v>0</v>
      </c>
      <c r="L8" s="23" t="n">
        <v>0</v>
      </c>
      <c r="M8" s="23" t="n">
        <v>0</v>
      </c>
      <c r="N8" s="23" t="n">
        <v>0</v>
      </c>
      <c r="O8" s="23" t="n">
        <v>0</v>
      </c>
      <c r="P8" s="23" t="n">
        <v>0</v>
      </c>
      <c r="Q8" s="23" t="n">
        <v>0</v>
      </c>
      <c r="R8" s="23" t="n">
        <v>0</v>
      </c>
      <c r="S8" s="23" t="n">
        <v>0</v>
      </c>
      <c r="T8" s="23" t="n">
        <v>0</v>
      </c>
      <c r="U8" s="23" t="n">
        <v>0</v>
      </c>
      <c r="V8" s="23" t="n">
        <v>0</v>
      </c>
      <c r="W8" s="8" t="n">
        <v>-123479.463</v>
      </c>
      <c r="X8" s="24" t="n">
        <v>31896.944</v>
      </c>
      <c r="Y8" s="8" t="n">
        <v>-111168.532</v>
      </c>
      <c r="Z8" s="24" t="n">
        <v>32704.358</v>
      </c>
      <c r="AA8" s="8" t="n">
        <v>-15720.656</v>
      </c>
      <c r="AB8" s="8" t="n">
        <v>-365463.108</v>
      </c>
      <c r="AC8" s="8" t="n">
        <v>-121550.764</v>
      </c>
      <c r="AD8" s="24" t="n">
        <v>251182.278</v>
      </c>
      <c r="AE8" s="24" t="n">
        <v>73732.46000000001</v>
      </c>
      <c r="AF8" s="24" t="n">
        <v>65135.039</v>
      </c>
      <c r="AG8" s="8" t="n">
        <v>-376560.608</v>
      </c>
    </row>
    <row r="9">
      <c r="A9" s="21" t="inlineStr">
        <is>
          <t xml:space="preserve">    Títulos — mercado secundário</t>
        </is>
      </c>
      <c r="B9" s="22" t="inlineStr">
        <is>
          <t>29006</t>
        </is>
      </c>
      <c r="C9" s="23" t="n">
        <v>0</v>
      </c>
      <c r="D9" s="23" t="n">
        <v>0</v>
      </c>
      <c r="E9" s="23" t="n">
        <v>0</v>
      </c>
      <c r="F9" s="23" t="n">
        <v>0</v>
      </c>
      <c r="G9" s="23" t="n">
        <v>0</v>
      </c>
      <c r="H9" s="23" t="n">
        <v>0</v>
      </c>
      <c r="I9" s="23" t="n">
        <v>0</v>
      </c>
      <c r="J9" s="23" t="n">
        <v>0</v>
      </c>
      <c r="K9" s="23" t="n">
        <v>0</v>
      </c>
      <c r="L9" s="23" t="n">
        <v>0</v>
      </c>
      <c r="M9" s="23" t="n">
        <v>0</v>
      </c>
      <c r="N9" s="23" t="n">
        <v>0</v>
      </c>
      <c r="O9" s="23" t="n">
        <v>0</v>
      </c>
      <c r="P9" s="23" t="n">
        <v>0</v>
      </c>
      <c r="Q9" s="23" t="n">
        <v>0</v>
      </c>
      <c r="R9" s="23" t="n">
        <v>0</v>
      </c>
      <c r="S9" s="23" t="n">
        <v>0</v>
      </c>
      <c r="T9" s="23" t="n">
        <v>0</v>
      </c>
      <c r="U9" s="23" t="n">
        <v>0</v>
      </c>
      <c r="V9" s="23" t="n">
        <v>0</v>
      </c>
      <c r="W9" s="8" t="n">
        <v>-536.6</v>
      </c>
      <c r="X9" s="24" t="n">
        <v>370.936</v>
      </c>
      <c r="Y9" s="24" t="n">
        <v>84375.56600000001</v>
      </c>
      <c r="Z9" s="24" t="n">
        <v>2389.234</v>
      </c>
      <c r="AA9" s="24" t="n">
        <v>243045.615</v>
      </c>
      <c r="AB9" s="8" t="n">
        <v>-264574.325</v>
      </c>
      <c r="AC9" s="24" t="n">
        <v>303982.035</v>
      </c>
      <c r="AD9" s="24" t="n">
        <v>185991.949</v>
      </c>
      <c r="AE9" s="8" t="n">
        <v>-130320.548</v>
      </c>
      <c r="AF9" s="24" t="n">
        <v>93569.787</v>
      </c>
      <c r="AG9" s="24" t="n">
        <v>430597.121</v>
      </c>
    </row>
    <row r="10">
      <c r="A10" s="18" t="inlineStr">
        <is>
          <t>Depósitos de instituições financeiras</t>
        </is>
      </c>
      <c r="B10" s="19" t="inlineStr">
        <is>
          <t>1815</t>
        </is>
      </c>
      <c r="C10" s="20" t="n">
        <v>4075.931</v>
      </c>
      <c r="D10" s="8" t="n">
        <v>-2146.231</v>
      </c>
      <c r="E10" s="8" t="n">
        <v>-8790.445</v>
      </c>
      <c r="F10" s="20" t="n">
        <v>20282.878</v>
      </c>
      <c r="G10" s="20" t="n">
        <v>2114.291</v>
      </c>
      <c r="H10" s="20" t="n">
        <v>1478.559</v>
      </c>
      <c r="I10" s="8" t="n">
        <v>-1806.911</v>
      </c>
      <c r="J10" s="8" t="n">
        <v>-33769.655</v>
      </c>
      <c r="K10" s="20" t="n">
        <v>6729.147</v>
      </c>
      <c r="L10" s="8" t="n">
        <v>-2400.391</v>
      </c>
      <c r="M10" s="20" t="n">
        <v>2373.784</v>
      </c>
      <c r="N10" s="8" t="n">
        <v>-764.37</v>
      </c>
      <c r="O10" s="8" t="n">
        <v>-10600.939</v>
      </c>
      <c r="P10" s="20" t="n">
        <v>57041.22</v>
      </c>
      <c r="Q10" s="8" t="n">
        <v>-3425.469</v>
      </c>
      <c r="R10" s="8" t="n">
        <v>-236911.071</v>
      </c>
      <c r="S10" s="8" t="n">
        <v>-24388.014</v>
      </c>
      <c r="T10" s="20" t="n">
        <v>118682.701</v>
      </c>
      <c r="U10" s="8" t="n">
        <v>-19903.346</v>
      </c>
      <c r="V10" s="20" t="n">
        <v>56163.369</v>
      </c>
      <c r="W10" s="8" t="n">
        <v>-24740.332</v>
      </c>
      <c r="X10" s="20" t="n">
        <v>6054.528</v>
      </c>
      <c r="Y10" s="20" t="n">
        <v>867.627</v>
      </c>
      <c r="Z10" s="20" t="n">
        <v>13987.567</v>
      </c>
      <c r="AA10" s="20" t="n">
        <v>16690.766</v>
      </c>
      <c r="AB10" s="20" t="n">
        <v>69829.095</v>
      </c>
      <c r="AC10" s="8" t="n">
        <v>-26059.891</v>
      </c>
      <c r="AD10" s="8" t="n">
        <v>-54168.5</v>
      </c>
      <c r="AE10" s="8" t="n">
        <v>-45370.899</v>
      </c>
      <c r="AF10" s="8" t="n">
        <v>-706.95</v>
      </c>
      <c r="AG10" s="20" t="n">
        <v>45376.981</v>
      </c>
    </row>
    <row r="11">
      <c r="A11" s="18" t="inlineStr">
        <is>
          <t>Depósitos de fundos de investimento</t>
        </is>
      </c>
      <c r="B11" s="19" t="inlineStr">
        <is>
          <t>1816</t>
        </is>
      </c>
      <c r="C11" s="8" t="n">
        <v>-1708.048</v>
      </c>
      <c r="D11" s="8" t="n">
        <v>-6479.729</v>
      </c>
      <c r="E11" s="20" t="n">
        <v>7906.155</v>
      </c>
      <c r="F11" s="8" t="n">
        <v>-819.634</v>
      </c>
      <c r="G11" s="20" t="n">
        <v>4545.796</v>
      </c>
      <c r="H11" s="25" t="n">
        <v>0</v>
      </c>
      <c r="I11" s="25" t="n">
        <v>0</v>
      </c>
      <c r="J11" s="25" t="n">
        <v>0</v>
      </c>
      <c r="K11" s="25" t="n">
        <v>0</v>
      </c>
      <c r="L11" s="25" t="n">
        <v>0</v>
      </c>
      <c r="M11" s="25" t="n">
        <v>0</v>
      </c>
      <c r="N11" s="25" t="n">
        <v>0</v>
      </c>
      <c r="O11" s="25" t="n">
        <v>0</v>
      </c>
      <c r="P11" s="25" t="n">
        <v>0</v>
      </c>
      <c r="Q11" s="25" t="n">
        <v>0</v>
      </c>
      <c r="R11" s="25" t="n">
        <v>0</v>
      </c>
      <c r="S11" s="25" t="n">
        <v>0</v>
      </c>
      <c r="T11" s="25" t="n">
        <v>0</v>
      </c>
      <c r="U11" s="25" t="n">
        <v>0</v>
      </c>
      <c r="V11" s="25" t="n">
        <v>0</v>
      </c>
      <c r="W11" s="25" t="n">
        <v>0</v>
      </c>
      <c r="X11" s="25" t="n">
        <v>0</v>
      </c>
      <c r="Y11" s="25" t="n">
        <v>0</v>
      </c>
      <c r="Z11" s="25" t="n">
        <v>0</v>
      </c>
      <c r="AA11" s="25" t="n">
        <v>0</v>
      </c>
      <c r="AB11" s="25" t="n">
        <v>0</v>
      </c>
      <c r="AC11" s="25" t="n">
        <v>0</v>
      </c>
      <c r="AD11" s="25" t="n">
        <v>0</v>
      </c>
      <c r="AE11" s="25" t="n">
        <v>0</v>
      </c>
      <c r="AF11" s="25" t="n">
        <v>0</v>
      </c>
      <c r="AG11" s="25" t="n">
        <v>0</v>
      </c>
    </row>
    <row r="12">
      <c r="A12" s="18" t="inlineStr">
        <is>
          <t>Assistência financeira</t>
        </is>
      </c>
      <c r="B12" s="19" t="inlineStr">
        <is>
          <t>1812</t>
        </is>
      </c>
      <c r="C12" s="8" t="n">
        <v>-3272.506</v>
      </c>
      <c r="D12" s="20" t="n">
        <v>2149.341</v>
      </c>
      <c r="E12" s="8" t="n">
        <v>-3251.477</v>
      </c>
      <c r="F12" s="8" t="n">
        <v>-3427.004</v>
      </c>
      <c r="G12" s="8" t="n">
        <v>-1726.247</v>
      </c>
      <c r="H12" s="25" t="n">
        <v>0</v>
      </c>
      <c r="I12" s="25" t="n">
        <v>0</v>
      </c>
      <c r="J12" s="25" t="n">
        <v>0</v>
      </c>
      <c r="K12" s="25" t="n">
        <v>0</v>
      </c>
      <c r="L12" s="25" t="n">
        <v>0</v>
      </c>
      <c r="M12" s="25" t="n">
        <v>0</v>
      </c>
      <c r="N12" s="25" t="n">
        <v>0</v>
      </c>
      <c r="O12" s="25" t="n">
        <v>0</v>
      </c>
      <c r="P12" s="25" t="n">
        <v>0</v>
      </c>
      <c r="Q12" s="25" t="n">
        <v>0</v>
      </c>
      <c r="R12" s="25" t="n">
        <v>0</v>
      </c>
      <c r="S12" s="25" t="n">
        <v>0</v>
      </c>
      <c r="T12" s="25" t="n">
        <v>0</v>
      </c>
      <c r="U12" s="25" t="n">
        <v>0</v>
      </c>
      <c r="V12" s="25" t="n">
        <v>0</v>
      </c>
      <c r="W12" s="25" t="n">
        <v>0</v>
      </c>
      <c r="X12" s="25" t="n">
        <v>0</v>
      </c>
      <c r="Y12" s="25" t="n">
        <v>0</v>
      </c>
      <c r="Z12" s="25" t="n">
        <v>0</v>
      </c>
      <c r="AA12" s="25" t="n">
        <v>0</v>
      </c>
      <c r="AB12" s="25" t="n">
        <v>0</v>
      </c>
      <c r="AC12" s="25" t="n">
        <v>0</v>
      </c>
      <c r="AD12" s="25" t="n">
        <v>0</v>
      </c>
      <c r="AE12" s="25" t="n">
        <v>0</v>
      </c>
      <c r="AF12" s="25" t="n">
        <v>0</v>
      </c>
      <c r="AG12" s="25" t="n">
        <v>0</v>
      </c>
    </row>
    <row r="13">
      <c r="A13" s="18" t="inlineStr">
        <is>
          <t>PROER</t>
        </is>
      </c>
      <c r="B13" s="19" t="inlineStr">
        <is>
          <t>1813</t>
        </is>
      </c>
      <c r="C13" s="20" t="n">
        <v>1418</v>
      </c>
      <c r="D13" s="20" t="n">
        <v>8732.473</v>
      </c>
      <c r="E13" s="20" t="n">
        <v>5466.693</v>
      </c>
      <c r="F13" s="8" t="n">
        <v>-200.948</v>
      </c>
      <c r="G13" s="25" t="n">
        <v>0</v>
      </c>
      <c r="H13" s="25" t="n">
        <v>0</v>
      </c>
      <c r="I13" s="25" t="n">
        <v>0</v>
      </c>
      <c r="J13" s="25" t="n">
        <v>0</v>
      </c>
      <c r="K13" s="25" t="n">
        <v>0</v>
      </c>
      <c r="L13" s="25" t="n">
        <v>0</v>
      </c>
      <c r="M13" s="25" t="n">
        <v>0</v>
      </c>
      <c r="N13" s="25" t="n">
        <v>0</v>
      </c>
      <c r="O13" s="25" t="n">
        <v>0</v>
      </c>
      <c r="P13" s="25" t="n">
        <v>0</v>
      </c>
      <c r="Q13" s="25" t="n">
        <v>0</v>
      </c>
      <c r="R13" s="25" t="n">
        <v>0</v>
      </c>
      <c r="S13" s="25" t="n">
        <v>0</v>
      </c>
      <c r="T13" s="25" t="n">
        <v>0</v>
      </c>
      <c r="U13" s="25" t="n">
        <v>0</v>
      </c>
      <c r="V13" s="25" t="n">
        <v>0</v>
      </c>
      <c r="W13" s="25" t="n">
        <v>0</v>
      </c>
      <c r="X13" s="25" t="n">
        <v>0</v>
      </c>
      <c r="Y13" s="25" t="n">
        <v>0</v>
      </c>
      <c r="Z13" s="25" t="n">
        <v>0</v>
      </c>
      <c r="AA13" s="25" t="n">
        <v>0</v>
      </c>
      <c r="AB13" s="25" t="n">
        <v>0</v>
      </c>
      <c r="AC13" s="25" t="n">
        <v>0</v>
      </c>
      <c r="AD13" s="25" t="n">
        <v>0</v>
      </c>
      <c r="AE13" s="25" t="n">
        <v>0</v>
      </c>
      <c r="AF13" s="25" t="n">
        <v>0</v>
      </c>
      <c r="AG13" s="25" t="n">
        <v>0</v>
      </c>
    </row>
    <row r="14">
      <c r="A14" s="18" t="inlineStr">
        <is>
          <t>PROES</t>
        </is>
      </c>
      <c r="B14" s="19" t="inlineStr">
        <is>
          <t>1814</t>
        </is>
      </c>
      <c r="C14" s="25" t="n">
        <v>0</v>
      </c>
      <c r="D14" s="25" t="n">
        <v>0</v>
      </c>
      <c r="E14" s="20" t="n">
        <v>953.876</v>
      </c>
      <c r="F14" s="20" t="n">
        <v>16.96</v>
      </c>
      <c r="G14" s="8" t="n">
        <v>-212.208</v>
      </c>
      <c r="H14" s="8" t="n">
        <v>-22.603</v>
      </c>
      <c r="I14" s="25" t="n">
        <v>0</v>
      </c>
      <c r="J14" s="25" t="n">
        <v>0</v>
      </c>
      <c r="K14" s="25" t="n">
        <v>0</v>
      </c>
      <c r="L14" s="25" t="n">
        <v>0</v>
      </c>
      <c r="M14" s="25" t="n">
        <v>0</v>
      </c>
      <c r="N14" s="25" t="n">
        <v>0</v>
      </c>
      <c r="O14" s="25" t="n">
        <v>0</v>
      </c>
      <c r="P14" s="25" t="n">
        <v>0</v>
      </c>
      <c r="Q14" s="25" t="n">
        <v>0</v>
      </c>
      <c r="R14" s="25" t="n">
        <v>0</v>
      </c>
      <c r="S14" s="25" t="n">
        <v>0</v>
      </c>
      <c r="T14" s="25" t="n">
        <v>0</v>
      </c>
      <c r="U14" s="25" t="n">
        <v>0</v>
      </c>
      <c r="V14" s="25" t="n">
        <v>0</v>
      </c>
      <c r="W14" s="25" t="n">
        <v>0</v>
      </c>
      <c r="X14" s="25" t="n">
        <v>0</v>
      </c>
      <c r="Y14" s="25" t="n">
        <v>0</v>
      </c>
      <c r="Z14" s="25" t="n">
        <v>0</v>
      </c>
      <c r="AA14" s="25" t="n">
        <v>0</v>
      </c>
      <c r="AB14" s="25" t="n">
        <v>0</v>
      </c>
      <c r="AC14" s="25" t="n">
        <v>0</v>
      </c>
      <c r="AD14" s="25" t="n">
        <v>0</v>
      </c>
      <c r="AE14" s="25" t="n">
        <v>0</v>
      </c>
      <c r="AF14" s="25" t="n">
        <v>0</v>
      </c>
      <c r="AG14" s="25" t="n">
        <v>0</v>
      </c>
    </row>
    <row r="15">
      <c r="A15" s="18" t="inlineStr">
        <is>
          <t>Redesconto do Banco Central</t>
        </is>
      </c>
      <c r="B15" s="19" t="inlineStr">
        <is>
          <t>12484</t>
        </is>
      </c>
      <c r="C15" s="25" t="n">
        <v>0</v>
      </c>
      <c r="D15" s="25" t="n">
        <v>0</v>
      </c>
      <c r="E15" s="25" t="n">
        <v>0</v>
      </c>
      <c r="F15" s="25" t="n">
        <v>0</v>
      </c>
      <c r="G15" s="25" t="n">
        <v>0</v>
      </c>
      <c r="H15" s="8" t="n">
        <v>-614.971</v>
      </c>
      <c r="I15" s="25" t="n">
        <v>0</v>
      </c>
      <c r="J15" s="20" t="n">
        <v>400.375</v>
      </c>
      <c r="K15" s="20" t="n">
        <v>2.247</v>
      </c>
      <c r="L15" s="8" t="n">
        <v>-7.14</v>
      </c>
      <c r="M15" s="8" t="n">
        <v>-3.343</v>
      </c>
      <c r="N15" s="8" t="n">
        <v>-1.476</v>
      </c>
      <c r="O15" s="8" t="n">
        <v>-3.017</v>
      </c>
      <c r="P15" s="8" t="n">
        <v>-1.073</v>
      </c>
      <c r="Q15" s="8" t="n">
        <v>-1.181</v>
      </c>
      <c r="R15" s="8" t="n">
        <v>-0.539</v>
      </c>
      <c r="S15" s="8" t="n">
        <v>-0.5600000000000001</v>
      </c>
      <c r="T15" s="20" t="n">
        <v>45.943</v>
      </c>
      <c r="U15" s="8" t="n">
        <v>-1.675</v>
      </c>
      <c r="V15" s="8" t="n">
        <v>-0.045</v>
      </c>
      <c r="W15" s="8" t="n">
        <v>-0.593</v>
      </c>
      <c r="X15" s="8" t="n">
        <v>-3.179</v>
      </c>
      <c r="Y15" s="8" t="n">
        <v>-0.181</v>
      </c>
      <c r="Z15" s="20" t="n">
        <v>13.2</v>
      </c>
      <c r="AA15" s="8" t="n">
        <v>-14.549</v>
      </c>
      <c r="AB15" s="20" t="n">
        <v>3.485</v>
      </c>
      <c r="AC15" s="20" t="n">
        <v>44.99</v>
      </c>
      <c r="AD15" s="8" t="n">
        <v>-27.398</v>
      </c>
      <c r="AE15" s="8" t="n">
        <v>-29.715</v>
      </c>
      <c r="AF15" s="8" t="n">
        <v>-0.788</v>
      </c>
      <c r="AG15" s="25" t="n">
        <v>0</v>
      </c>
    </row>
    <row r="16">
      <c r="A16" s="18" t="inlineStr">
        <is>
          <t>Operações com derivativos — ajustes</t>
        </is>
      </c>
      <c r="B16" s="19" t="inlineStr">
        <is>
          <t>12487</t>
        </is>
      </c>
      <c r="C16" s="25" t="n">
        <v>0</v>
      </c>
      <c r="D16" s="25" t="n">
        <v>0</v>
      </c>
      <c r="E16" s="25" t="n">
        <v>0</v>
      </c>
      <c r="F16" s="25" t="n">
        <v>0</v>
      </c>
      <c r="G16" s="25" t="n">
        <v>0</v>
      </c>
      <c r="H16" s="25" t="n">
        <v>0</v>
      </c>
      <c r="I16" s="25" t="n">
        <v>0</v>
      </c>
      <c r="J16" s="20" t="n">
        <v>10942.004</v>
      </c>
      <c r="K16" s="8" t="n">
        <v>-15632.065</v>
      </c>
      <c r="L16" s="8" t="n">
        <v>-6032.014</v>
      </c>
      <c r="M16" s="8" t="n">
        <v>-2684.423</v>
      </c>
      <c r="N16" s="20" t="n">
        <v>5436.454</v>
      </c>
      <c r="O16" s="20" t="n">
        <v>8812.156000000001</v>
      </c>
      <c r="P16" s="8" t="n">
        <v>-4801.25</v>
      </c>
      <c r="Q16" s="8" t="n">
        <v>-3198.916</v>
      </c>
      <c r="R16" s="25" t="n">
        <v>0</v>
      </c>
      <c r="S16" s="8" t="n">
        <v>-705.683</v>
      </c>
      <c r="T16" s="8" t="n">
        <v>-1100.801</v>
      </c>
      <c r="U16" s="20" t="n">
        <v>1314.564</v>
      </c>
      <c r="V16" s="20" t="n">
        <v>17329.053</v>
      </c>
      <c r="W16" s="20" t="n">
        <v>89657.15300000001</v>
      </c>
      <c r="X16" s="8" t="n">
        <v>-75562.37300000001</v>
      </c>
      <c r="Y16" s="8" t="n">
        <v>-7032.535</v>
      </c>
      <c r="Z16" s="20" t="n">
        <v>15125.016</v>
      </c>
      <c r="AA16" s="20" t="n">
        <v>7639.551</v>
      </c>
      <c r="AB16" s="20" t="n">
        <v>40800.821</v>
      </c>
      <c r="AC16" s="20" t="n">
        <v>22323.949</v>
      </c>
      <c r="AD16" s="8" t="n">
        <v>-92265.39999999999</v>
      </c>
      <c r="AE16" s="8" t="n">
        <v>-70871.662</v>
      </c>
      <c r="AF16" s="20" t="n">
        <v>115930.245</v>
      </c>
      <c r="AG16" s="8" t="n">
        <v>-105895.906</v>
      </c>
    </row>
    <row r="17">
      <c r="A17" s="18" t="inlineStr">
        <is>
          <t>Linhas temporárias especiais de liquidez</t>
        </is>
      </c>
      <c r="B17" s="19" t="inlineStr">
        <is>
          <t>28724</t>
        </is>
      </c>
      <c r="C17" s="25" t="n">
        <v>0</v>
      </c>
      <c r="D17" s="25" t="n">
        <v>0</v>
      </c>
      <c r="E17" s="25" t="n">
        <v>0</v>
      </c>
      <c r="F17" s="25" t="n">
        <v>0</v>
      </c>
      <c r="G17" s="25" t="n">
        <v>0</v>
      </c>
      <c r="H17" s="25" t="n">
        <v>0</v>
      </c>
      <c r="I17" s="25" t="n">
        <v>0</v>
      </c>
      <c r="J17" s="25" t="n">
        <v>0</v>
      </c>
      <c r="K17" s="25" t="n">
        <v>0</v>
      </c>
      <c r="L17" s="25" t="n">
        <v>0</v>
      </c>
      <c r="M17" s="25" t="n">
        <v>0</v>
      </c>
      <c r="N17" s="25" t="n">
        <v>0</v>
      </c>
      <c r="O17" s="25" t="n">
        <v>0</v>
      </c>
      <c r="P17" s="25" t="n">
        <v>0</v>
      </c>
      <c r="Q17" s="25" t="n">
        <v>0</v>
      </c>
      <c r="R17" s="25" t="n">
        <v>0</v>
      </c>
      <c r="S17" s="25" t="n">
        <v>0</v>
      </c>
      <c r="T17" s="25" t="n">
        <v>0</v>
      </c>
      <c r="U17" s="25" t="n">
        <v>0</v>
      </c>
      <c r="V17" s="25" t="n">
        <v>0</v>
      </c>
      <c r="W17" s="25" t="n">
        <v>0</v>
      </c>
      <c r="X17" s="25" t="n">
        <v>0</v>
      </c>
      <c r="Y17" s="25" t="n">
        <v>0</v>
      </c>
      <c r="Z17" s="25" t="n">
        <v>0</v>
      </c>
      <c r="AA17" s="25" t="n">
        <v>0</v>
      </c>
      <c r="AB17" s="20" t="n">
        <v>67236.04399999999</v>
      </c>
      <c r="AC17" s="8" t="n">
        <v>-52769.578</v>
      </c>
      <c r="AD17" s="20" t="n">
        <v>9097.299000000001</v>
      </c>
      <c r="AE17" s="8" t="n">
        <v>-33737.198</v>
      </c>
      <c r="AF17" s="8" t="n">
        <v>-0.021</v>
      </c>
      <c r="AG17" s="8" t="n">
        <v>-0.024</v>
      </c>
    </row>
    <row r="18">
      <c r="A18" s="18" t="inlineStr">
        <is>
          <t>Autoridade Monetária — Outras operações</t>
        </is>
      </c>
      <c r="B18" s="19" t="inlineStr">
        <is>
          <t>1818</t>
        </is>
      </c>
      <c r="C18" s="20" t="n">
        <v>2977.769</v>
      </c>
      <c r="D18" s="20" t="n">
        <v>10027.648</v>
      </c>
      <c r="E18" s="20" t="n">
        <v>1698.923</v>
      </c>
      <c r="F18" s="20" t="n">
        <v>179.863</v>
      </c>
      <c r="G18" s="20" t="n">
        <v>32.201</v>
      </c>
      <c r="H18" s="8" t="n">
        <v>-839.2619999999999</v>
      </c>
      <c r="I18" s="8" t="n">
        <v>-3424.281</v>
      </c>
      <c r="J18" s="8" t="n">
        <v>-1338.211</v>
      </c>
      <c r="K18" s="8" t="n">
        <v>-1941.998</v>
      </c>
      <c r="L18" s="8" t="n">
        <v>-148.935</v>
      </c>
      <c r="M18" s="20" t="n">
        <v>632.9059999999999</v>
      </c>
      <c r="N18" s="20" t="n">
        <v>1012.499</v>
      </c>
      <c r="O18" s="20" t="n">
        <v>1491.448</v>
      </c>
      <c r="P18" s="20" t="n">
        <v>1071.994</v>
      </c>
      <c r="Q18" s="20" t="n">
        <v>3242.878</v>
      </c>
      <c r="R18" s="20" t="n">
        <v>3829.68</v>
      </c>
      <c r="S18" s="20" t="n">
        <v>2756.678</v>
      </c>
      <c r="T18" s="8" t="n">
        <v>-8392.875</v>
      </c>
      <c r="U18" s="8" t="n">
        <v>-12532.941</v>
      </c>
      <c r="V18" s="20" t="n">
        <v>1227.406</v>
      </c>
      <c r="W18" s="20" t="n">
        <v>6233.098</v>
      </c>
      <c r="X18" s="20" t="n">
        <v>7424.617</v>
      </c>
      <c r="Y18" s="20" t="n">
        <v>5896.818</v>
      </c>
      <c r="Z18" s="20" t="n">
        <v>2909.758</v>
      </c>
      <c r="AA18" s="8" t="n">
        <v>-6634.019</v>
      </c>
      <c r="AB18" s="8" t="n">
        <v>-19343.055</v>
      </c>
      <c r="AC18" s="8" t="n">
        <v>-30402.627</v>
      </c>
      <c r="AD18" s="8" t="n">
        <v>-80194.454</v>
      </c>
      <c r="AE18" s="8" t="n">
        <v>-75435.61500000001</v>
      </c>
      <c r="AF18" s="8" t="n">
        <v>-98786.795</v>
      </c>
      <c r="AG18" s="8" t="n">
        <v>-100762.164</v>
      </c>
    </row>
    <row r="19">
      <c r="A19" s="26" t="inlineStr">
        <is>
          <t>Variação da base (= soma dos fatores)</t>
        </is>
      </c>
      <c r="B19" s="27" t="inlineStr">
        <is>
          <t>Σ</t>
        </is>
      </c>
      <c r="C19" s="28" t="n">
        <v>-193.451</v>
      </c>
      <c r="D19" s="28" t="n">
        <v>-1885.407</v>
      </c>
      <c r="E19" s="13" t="n">
        <v>12017.815</v>
      </c>
      <c r="F19" s="13" t="n">
        <v>7351.318</v>
      </c>
      <c r="G19" s="13" t="n">
        <v>9238.135</v>
      </c>
      <c r="H19" s="28" t="n">
        <v>-735.9450000000001</v>
      </c>
      <c r="I19" s="13" t="n">
        <v>5569.787</v>
      </c>
      <c r="J19" s="13" t="n">
        <v>20046.302</v>
      </c>
      <c r="K19" s="28" t="n">
        <v>-83.136</v>
      </c>
      <c r="L19" s="13" t="n">
        <v>15513.541</v>
      </c>
      <c r="M19" s="13" t="n">
        <v>12514.558</v>
      </c>
      <c r="N19" s="13" t="n">
        <v>19854.766</v>
      </c>
      <c r="O19" s="13" t="n">
        <v>25514.866</v>
      </c>
      <c r="P19" s="13" t="n">
        <v>932.838</v>
      </c>
      <c r="Q19" s="13" t="n">
        <v>18523.13</v>
      </c>
      <c r="R19" s="13" t="n">
        <v>40780.487</v>
      </c>
      <c r="S19" s="13" t="n">
        <v>7381.989</v>
      </c>
      <c r="T19" s="13" t="n">
        <v>19136.141</v>
      </c>
      <c r="U19" s="13" t="n">
        <v>16135.254</v>
      </c>
      <c r="V19" s="13" t="n">
        <v>14018.932</v>
      </c>
      <c r="W19" s="28" t="n">
        <v>-8238.638999999999</v>
      </c>
      <c r="X19" s="13" t="n">
        <v>14998.397</v>
      </c>
      <c r="Y19" s="13" t="n">
        <v>26468.383</v>
      </c>
      <c r="Z19" s="13" t="n">
        <v>5294.233</v>
      </c>
      <c r="AA19" s="13" t="n">
        <v>14537.328</v>
      </c>
      <c r="AB19" s="13" t="n">
        <v>114949.942</v>
      </c>
      <c r="AC19" s="28" t="n">
        <v>-22353.137</v>
      </c>
      <c r="AD19" s="13" t="n">
        <v>10476.4</v>
      </c>
      <c r="AE19" s="13" t="n">
        <v>3058.705</v>
      </c>
      <c r="AF19" s="13" t="n">
        <v>28495.118</v>
      </c>
      <c r="AG19" s="28" t="n">
        <v>-4116.189</v>
      </c>
    </row>
    <row r="20">
      <c r="A20" s="29" t="inlineStr">
        <is>
          <t>Memória: Δ estoque da base (fim a fim)</t>
        </is>
      </c>
      <c r="B20" s="30" t="inlineStr">
        <is>
          <t>Δ</t>
        </is>
      </c>
      <c r="C20" s="31" t="n">
        <v>3997.04</v>
      </c>
      <c r="D20" s="32" t="n">
        <v>-1885.894</v>
      </c>
      <c r="E20" s="31" t="n">
        <v>12032.635</v>
      </c>
      <c r="F20" s="31" t="n">
        <v>7356.046</v>
      </c>
      <c r="G20" s="31" t="n">
        <v>9245.779</v>
      </c>
      <c r="H20" s="32" t="n">
        <v>-743.944</v>
      </c>
      <c r="I20" s="31" t="n">
        <v>5569.758</v>
      </c>
      <c r="J20" s="31" t="n">
        <v>20046.301</v>
      </c>
      <c r="K20" s="32" t="n">
        <v>-83.136</v>
      </c>
      <c r="L20" s="31" t="n">
        <v>15513.541</v>
      </c>
      <c r="M20" s="31" t="n">
        <v>12514.558</v>
      </c>
      <c r="N20" s="31" t="n">
        <v>19854.766</v>
      </c>
      <c r="O20" s="31" t="n">
        <v>25514.866</v>
      </c>
      <c r="P20" s="31" t="n">
        <v>932.838</v>
      </c>
      <c r="Q20" s="31" t="n">
        <v>18523.13</v>
      </c>
      <c r="R20" s="31" t="n">
        <v>40780.487</v>
      </c>
      <c r="S20" s="31" t="n">
        <v>7381.989</v>
      </c>
      <c r="T20" s="31" t="n">
        <v>19136.141</v>
      </c>
      <c r="U20" s="31" t="n">
        <v>16138.326</v>
      </c>
      <c r="V20" s="31" t="n">
        <v>14018.739</v>
      </c>
      <c r="W20" s="32" t="n">
        <v>-8239.594999999999</v>
      </c>
      <c r="X20" s="31" t="n">
        <v>14998.224</v>
      </c>
      <c r="Y20" s="31" t="n">
        <v>26468.31</v>
      </c>
      <c r="Z20" s="31" t="n">
        <v>5294.005</v>
      </c>
      <c r="AA20" s="31" t="n">
        <v>14537.246</v>
      </c>
      <c r="AB20" s="31" t="n">
        <v>114949.946</v>
      </c>
      <c r="AC20" s="32" t="n">
        <v>-22353.134</v>
      </c>
      <c r="AD20" s="31" t="n">
        <v>10476.399</v>
      </c>
      <c r="AE20" s="31" t="n">
        <v>3058.71</v>
      </c>
      <c r="AF20" s="31" t="n">
        <v>28494.96</v>
      </c>
      <c r="AG20" s="32" t="n">
        <v>-4116.934</v>
      </c>
    </row>
    <row r="21">
      <c r="A21" s="29" t="inlineStr">
        <is>
          <t>Memória: resíduo (soma − Δ estoque)</t>
        </is>
      </c>
      <c r="B21" s="30" t="inlineStr">
        <is>
          <t>ε</t>
        </is>
      </c>
      <c r="C21" s="32" t="n">
        <v>-4190.491</v>
      </c>
      <c r="D21" s="31" t="n">
        <v>0.487</v>
      </c>
      <c r="E21" s="32" t="n">
        <v>-14.82</v>
      </c>
      <c r="F21" s="32" t="n">
        <v>-4.728</v>
      </c>
      <c r="G21" s="32" t="n">
        <v>-7.644</v>
      </c>
      <c r="H21" s="31" t="n">
        <v>7.999</v>
      </c>
      <c r="I21" s="31" t="n">
        <v>0.029</v>
      </c>
      <c r="J21" s="31" t="n">
        <v>0.001</v>
      </c>
      <c r="K21" s="31" t="n">
        <v>0</v>
      </c>
      <c r="L21" s="31" t="n">
        <v>0</v>
      </c>
      <c r="M21" s="31" t="n">
        <v>0</v>
      </c>
      <c r="N21" s="31" t="n">
        <v>0</v>
      </c>
      <c r="O21" s="31" t="n">
        <v>0</v>
      </c>
      <c r="P21" s="31" t="n">
        <v>0</v>
      </c>
      <c r="Q21" s="31" t="n">
        <v>0</v>
      </c>
      <c r="R21" s="31" t="n">
        <v>0</v>
      </c>
      <c r="S21" s="31" t="n">
        <v>0</v>
      </c>
      <c r="T21" s="31" t="n">
        <v>0</v>
      </c>
      <c r="U21" s="32" t="n">
        <v>-3.072</v>
      </c>
      <c r="V21" s="31" t="n">
        <v>0.193</v>
      </c>
      <c r="W21" s="31" t="n">
        <v>0.956</v>
      </c>
      <c r="X21" s="31" t="n">
        <v>0.173</v>
      </c>
      <c r="Y21" s="31" t="n">
        <v>0.073</v>
      </c>
      <c r="Z21" s="31" t="n">
        <v>0.228</v>
      </c>
      <c r="AA21" s="31" t="n">
        <v>0.082</v>
      </c>
      <c r="AB21" s="32" t="n">
        <v>-0.004</v>
      </c>
      <c r="AC21" s="32" t="n">
        <v>-0.003</v>
      </c>
      <c r="AD21" s="31" t="n">
        <v>0.001</v>
      </c>
      <c r="AE21" s="32" t="n">
        <v>-0.005</v>
      </c>
      <c r="AF21" s="31" t="n">
        <v>0.158</v>
      </c>
      <c r="AG21" s="31" t="n">
        <v>0.745</v>
      </c>
    </row>
    <row r="22">
      <c r="A22" s="33" t="inlineStr">
        <is>
          <t>Base monetária restrita</t>
        </is>
      </c>
      <c r="B22" s="34" t="inlineStr">
        <is>
          <t>1788</t>
        </is>
      </c>
      <c r="C22" s="11" t="n">
        <v>21681.591</v>
      </c>
      <c r="D22" s="11" t="n">
        <v>19795.697</v>
      </c>
      <c r="E22" s="11" t="n">
        <v>31828.332</v>
      </c>
      <c r="F22" s="11" t="n">
        <v>39184.378</v>
      </c>
      <c r="G22" s="11" t="n">
        <v>48430.157</v>
      </c>
      <c r="H22" s="11" t="n">
        <v>47686.213</v>
      </c>
      <c r="I22" s="11" t="n">
        <v>53255.971</v>
      </c>
      <c r="J22" s="11" t="n">
        <v>73302.272</v>
      </c>
      <c r="K22" s="11" t="n">
        <v>73219.136</v>
      </c>
      <c r="L22" s="11" t="n">
        <v>88732.677</v>
      </c>
      <c r="M22" s="11" t="n">
        <v>101247.235</v>
      </c>
      <c r="N22" s="11" t="n">
        <v>121102.001</v>
      </c>
      <c r="O22" s="11" t="n">
        <v>146616.867</v>
      </c>
      <c r="P22" s="11" t="n">
        <v>147549.705</v>
      </c>
      <c r="Q22" s="11" t="n">
        <v>166072.835</v>
      </c>
      <c r="R22" s="11" t="n">
        <v>206853.322</v>
      </c>
      <c r="S22" s="11" t="n">
        <v>214235.311</v>
      </c>
      <c r="T22" s="11" t="n">
        <v>233371.452</v>
      </c>
      <c r="U22" s="11" t="n">
        <v>249509.778</v>
      </c>
      <c r="V22" s="11" t="n">
        <v>263528.517</v>
      </c>
      <c r="W22" s="11" t="n">
        <v>255288.922</v>
      </c>
      <c r="X22" s="11" t="n">
        <v>270287.146</v>
      </c>
      <c r="Y22" s="11" t="n">
        <v>296755.456</v>
      </c>
      <c r="Z22" s="11" t="n">
        <v>302049.461</v>
      </c>
      <c r="AA22" s="11" t="n">
        <v>316586.707</v>
      </c>
      <c r="AB22" s="11" t="n">
        <v>431536.653</v>
      </c>
      <c r="AC22" s="11" t="n">
        <v>409183.519</v>
      </c>
      <c r="AD22" s="11" t="n">
        <v>419659.918</v>
      </c>
      <c r="AE22" s="11" t="n">
        <v>422718.628</v>
      </c>
      <c r="AF22" s="11" t="n">
        <v>451213.588</v>
      </c>
      <c r="AG22" s="11" t="n">
        <v>447096.654</v>
      </c>
    </row>
    <row r="23">
      <c r="A23" s="18" t="inlineStr">
        <is>
          <t xml:space="preserve">    Papel-moeda em circulação</t>
        </is>
      </c>
      <c r="B23" s="19" t="inlineStr">
        <is>
          <t>1786</t>
        </is>
      </c>
      <c r="C23" s="25" t="n">
        <v>13770.097</v>
      </c>
      <c r="D23" s="25" t="n">
        <v>17187.949</v>
      </c>
      <c r="E23" s="25" t="n">
        <v>20250.732</v>
      </c>
      <c r="F23" s="25" t="n">
        <v>24166.79</v>
      </c>
      <c r="G23" s="25" t="n">
        <v>29837.941</v>
      </c>
      <c r="H23" s="25" t="n">
        <v>32633.056</v>
      </c>
      <c r="I23" s="25" t="n">
        <v>37668.836</v>
      </c>
      <c r="J23" s="25" t="n">
        <v>49931.066</v>
      </c>
      <c r="K23" s="25" t="n">
        <v>51363.863</v>
      </c>
      <c r="L23" s="25" t="n">
        <v>61935.635</v>
      </c>
      <c r="M23" s="25" t="n">
        <v>70033.641</v>
      </c>
      <c r="N23" s="25" t="n">
        <v>85824.753</v>
      </c>
      <c r="O23" s="25" t="n">
        <v>102885.047</v>
      </c>
      <c r="P23" s="25" t="n">
        <v>115590.704</v>
      </c>
      <c r="Q23" s="25" t="n">
        <v>131861.185</v>
      </c>
      <c r="R23" s="25" t="n">
        <v>151145.368</v>
      </c>
      <c r="S23" s="25" t="n">
        <v>162769.67</v>
      </c>
      <c r="T23" s="25" t="n">
        <v>187434.736</v>
      </c>
      <c r="U23" s="25" t="n">
        <v>204052.42</v>
      </c>
      <c r="V23" s="25" t="n">
        <v>220853.706</v>
      </c>
      <c r="W23" s="25" t="n">
        <v>225485.184</v>
      </c>
      <c r="X23" s="25" t="n">
        <v>232145.593</v>
      </c>
      <c r="Y23" s="25" t="n">
        <v>250363.681</v>
      </c>
      <c r="Z23" s="25" t="n">
        <v>264967.669</v>
      </c>
      <c r="AA23" s="25" t="n">
        <v>280685.185</v>
      </c>
      <c r="AB23" s="25" t="n">
        <v>370441.036</v>
      </c>
      <c r="AC23" s="25" t="n">
        <v>339013.043</v>
      </c>
      <c r="AD23" s="25" t="n">
        <v>342334.138</v>
      </c>
      <c r="AE23" s="25" t="n">
        <v>341616.828</v>
      </c>
      <c r="AF23" s="25" t="n">
        <v>355858.101</v>
      </c>
      <c r="AG23" s="25" t="n">
        <v>368625.466</v>
      </c>
    </row>
    <row r="24">
      <c r="A24" s="18" t="inlineStr">
        <is>
          <t xml:space="preserve">    Reservas bancárias</t>
        </is>
      </c>
      <c r="B24" s="19" t="inlineStr">
        <is>
          <t>1787</t>
        </is>
      </c>
      <c r="C24" s="25" t="n">
        <v>7911.494</v>
      </c>
      <c r="D24" s="25" t="n">
        <v>2607.748</v>
      </c>
      <c r="E24" s="25" t="n">
        <v>11577.6</v>
      </c>
      <c r="F24" s="25" t="n">
        <v>15017.588</v>
      </c>
      <c r="G24" s="25" t="n">
        <v>18592.216</v>
      </c>
      <c r="H24" s="25" t="n">
        <v>15053.157</v>
      </c>
      <c r="I24" s="25" t="n">
        <v>15587.135</v>
      </c>
      <c r="J24" s="25" t="n">
        <v>23371.206</v>
      </c>
      <c r="K24" s="25" t="n">
        <v>21855.273</v>
      </c>
      <c r="L24" s="25" t="n">
        <v>26797.042</v>
      </c>
      <c r="M24" s="25" t="n">
        <v>31213.594</v>
      </c>
      <c r="N24" s="25" t="n">
        <v>35277.248</v>
      </c>
      <c r="O24" s="25" t="n">
        <v>43731.82</v>
      </c>
      <c r="P24" s="25" t="n">
        <v>31959.001</v>
      </c>
      <c r="Q24" s="25" t="n">
        <v>34211.65</v>
      </c>
      <c r="R24" s="25" t="n">
        <v>55707.954</v>
      </c>
      <c r="S24" s="25" t="n">
        <v>51465.641</v>
      </c>
      <c r="T24" s="25" t="n">
        <v>45936.716</v>
      </c>
      <c r="U24" s="25" t="n">
        <v>45457.358</v>
      </c>
      <c r="V24" s="25" t="n">
        <v>42674.811</v>
      </c>
      <c r="W24" s="25" t="n">
        <v>29803.738</v>
      </c>
      <c r="X24" s="25" t="n">
        <v>38141.553</v>
      </c>
      <c r="Y24" s="25" t="n">
        <v>46391.775</v>
      </c>
      <c r="Z24" s="25" t="n">
        <v>37081.792</v>
      </c>
      <c r="AA24" s="25" t="n">
        <v>35901.522</v>
      </c>
      <c r="AB24" s="25" t="n">
        <v>61095.617</v>
      </c>
      <c r="AC24" s="25" t="n">
        <v>70170.476</v>
      </c>
      <c r="AD24" s="25" t="n">
        <v>77325.78</v>
      </c>
      <c r="AE24" s="25" t="n">
        <v>81101.8</v>
      </c>
      <c r="AF24" s="25" t="n">
        <v>95355.488</v>
      </c>
      <c r="AG24" s="25" t="n">
        <v>78471.18799999999</v>
      </c>
    </row>
    <row r="26">
      <c r="A26" s="16" t="inlineStr">
        <is>
          <t>Valores em R$ milhões. Verde = expansão da base; vermelho = contração. Coluna 2025* = até 12/2025.</t>
        </is>
      </c>
    </row>
  </sheetData>
  <autoFilter ref="A4:AG24"/>
  <mergeCells count="2">
    <mergeCell ref="A2:AI2"/>
    <mergeCell ref="A1:AI1"/>
  </mergeCells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I2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A1" s="5" t="inlineStr">
        <is>
          <t>Fatores no mês de dezembro (definição literal do SGS «final de período»)</t>
        </is>
      </c>
    </row>
    <row r="2">
      <c r="A2" s="17" t="inlineStr">
        <is>
          <t>Fluxo somente do mês de dezembro de cada ano. Estoque da base no mesmo mês. Unidade: R$ milhões.</t>
        </is>
      </c>
    </row>
    <row r="4" ht="28" customHeight="1">
      <c r="A4" s="2" t="inlineStr">
        <is>
          <t>Item</t>
        </is>
      </c>
      <c r="B4" s="2" t="inlineStr">
        <is>
          <t>SGS</t>
        </is>
      </c>
      <c r="C4" s="2" t="inlineStr">
        <is>
          <t>1995</t>
        </is>
      </c>
      <c r="D4" s="2" t="inlineStr">
        <is>
          <t>1996</t>
        </is>
      </c>
      <c r="E4" s="2" t="inlineStr">
        <is>
          <t>1997</t>
        </is>
      </c>
      <c r="F4" s="2" t="inlineStr">
        <is>
          <t>1998</t>
        </is>
      </c>
      <c r="G4" s="2" t="inlineStr">
        <is>
          <t>1999</t>
        </is>
      </c>
      <c r="H4" s="2" t="inlineStr">
        <is>
          <t>2000</t>
        </is>
      </c>
      <c r="I4" s="2" t="inlineStr">
        <is>
          <t>2001</t>
        </is>
      </c>
      <c r="J4" s="2" t="inlineStr">
        <is>
          <t>2002</t>
        </is>
      </c>
      <c r="K4" s="2" t="inlineStr">
        <is>
          <t>2003</t>
        </is>
      </c>
      <c r="L4" s="2" t="inlineStr">
        <is>
          <t>2004</t>
        </is>
      </c>
      <c r="M4" s="2" t="inlineStr">
        <is>
          <t>2005</t>
        </is>
      </c>
      <c r="N4" s="2" t="inlineStr">
        <is>
          <t>2006</t>
        </is>
      </c>
      <c r="O4" s="2" t="inlineStr">
        <is>
          <t>2007</t>
        </is>
      </c>
      <c r="P4" s="2" t="inlineStr">
        <is>
          <t>2008</t>
        </is>
      </c>
      <c r="Q4" s="2" t="inlineStr">
        <is>
          <t>2009</t>
        </is>
      </c>
      <c r="R4" s="2" t="inlineStr">
        <is>
          <t>2010</t>
        </is>
      </c>
      <c r="S4" s="2" t="inlineStr">
        <is>
          <t>2011</t>
        </is>
      </c>
      <c r="T4" s="2" t="inlineStr">
        <is>
          <t>2012</t>
        </is>
      </c>
      <c r="U4" s="2" t="inlineStr">
        <is>
          <t>2013</t>
        </is>
      </c>
      <c r="V4" s="2" t="inlineStr">
        <is>
          <t>2014</t>
        </is>
      </c>
      <c r="W4" s="2" t="inlineStr">
        <is>
          <t>2015</t>
        </is>
      </c>
      <c r="X4" s="2" t="inlineStr">
        <is>
          <t>2016</t>
        </is>
      </c>
      <c r="Y4" s="2" t="inlineStr">
        <is>
          <t>2017</t>
        </is>
      </c>
      <c r="Z4" s="2" t="inlineStr">
        <is>
          <t>2018</t>
        </is>
      </c>
      <c r="AA4" s="2" t="inlineStr">
        <is>
          <t>2019</t>
        </is>
      </c>
      <c r="AB4" s="2" t="inlineStr">
        <is>
          <t>2020</t>
        </is>
      </c>
      <c r="AC4" s="2" t="inlineStr">
        <is>
          <t>2021</t>
        </is>
      </c>
      <c r="AD4" s="2" t="inlineStr">
        <is>
          <t>2022</t>
        </is>
      </c>
      <c r="AE4" s="2" t="inlineStr">
        <is>
          <t>2023</t>
        </is>
      </c>
      <c r="AF4" s="2" t="inlineStr">
        <is>
          <t>2024</t>
        </is>
      </c>
      <c r="AG4" s="2" t="inlineStr">
        <is>
          <t>2025</t>
        </is>
      </c>
    </row>
    <row r="5">
      <c r="A5" s="18" t="inlineStr">
        <is>
          <t>Tesouro Nacional — Conta única</t>
        </is>
      </c>
      <c r="B5" s="19" t="n">
        <v>1810</v>
      </c>
      <c r="C5" s="20" t="n">
        <v>913.253</v>
      </c>
      <c r="D5" s="20" t="n">
        <v>443.623</v>
      </c>
      <c r="E5" s="8" t="n">
        <v>-1614.296</v>
      </c>
      <c r="F5" s="8" t="n">
        <v>-691.282</v>
      </c>
      <c r="G5" s="20" t="n">
        <v>221.121</v>
      </c>
      <c r="H5" s="8" t="n">
        <v>-90.184</v>
      </c>
      <c r="I5" s="20" t="n">
        <v>8397.878000000001</v>
      </c>
      <c r="J5" s="20" t="n">
        <v>196.734</v>
      </c>
      <c r="K5" s="20" t="n">
        <v>11711.648</v>
      </c>
      <c r="L5" s="8" t="n">
        <v>-2788.872</v>
      </c>
      <c r="M5" s="8" t="n">
        <v>-1519.602</v>
      </c>
      <c r="N5" s="8" t="n">
        <v>-2159.061</v>
      </c>
      <c r="O5" s="8" t="n">
        <v>-4826.282</v>
      </c>
      <c r="P5" s="8" t="n">
        <v>-3477.074</v>
      </c>
      <c r="Q5" s="8" t="n">
        <v>-15185.319</v>
      </c>
      <c r="R5" s="8" t="n">
        <v>-22880.052</v>
      </c>
      <c r="S5" s="8" t="n">
        <v>-17945.76</v>
      </c>
      <c r="T5" s="8" t="n">
        <v>-39380.522</v>
      </c>
      <c r="U5" s="8" t="n">
        <v>-43098.963</v>
      </c>
      <c r="V5" s="8" t="n">
        <v>-17938.494</v>
      </c>
      <c r="W5" s="20" t="n">
        <v>31966.901</v>
      </c>
      <c r="X5" s="8" t="n">
        <v>-52397.634</v>
      </c>
      <c r="Y5" s="20" t="n">
        <v>7163.59</v>
      </c>
      <c r="Z5" s="20" t="n">
        <v>20453.395</v>
      </c>
      <c r="AA5" s="8" t="n">
        <v>-43975.649</v>
      </c>
      <c r="AB5" s="20" t="n">
        <v>25213.146</v>
      </c>
      <c r="AC5" s="8" t="n">
        <v>-42883.828</v>
      </c>
      <c r="AD5" s="8" t="n">
        <v>-35780.006</v>
      </c>
      <c r="AE5" s="20" t="n">
        <v>80331.787</v>
      </c>
      <c r="AF5" s="8" t="n">
        <v>-55712.578</v>
      </c>
      <c r="AG5" s="8" t="n">
        <v>-35402.732</v>
      </c>
    </row>
    <row r="6">
      <c r="A6" s="18" t="inlineStr">
        <is>
          <t>Operações com o setor externo</t>
        </is>
      </c>
      <c r="B6" s="19" t="n">
        <v>1811</v>
      </c>
      <c r="C6" s="20" t="n">
        <v>268.337</v>
      </c>
      <c r="D6" s="20" t="n">
        <v>234.088</v>
      </c>
      <c r="E6" s="8" t="n">
        <v>-653.4160000000001</v>
      </c>
      <c r="F6" s="8" t="n">
        <v>-6553.666</v>
      </c>
      <c r="G6" s="8" t="n">
        <v>-2758.67</v>
      </c>
      <c r="H6" s="8" t="n">
        <v>-1941.905</v>
      </c>
      <c r="I6" s="8" t="n">
        <v>-2232.312</v>
      </c>
      <c r="J6" s="8" t="n">
        <v>-4981.6</v>
      </c>
      <c r="K6" s="20" t="n">
        <v>13.499</v>
      </c>
      <c r="L6" s="20" t="n">
        <v>7186.047</v>
      </c>
      <c r="M6" s="20" t="n">
        <v>9261.061</v>
      </c>
      <c r="N6" s="20" t="n">
        <v>5568.509</v>
      </c>
      <c r="O6" s="20" t="n">
        <v>4210.354</v>
      </c>
      <c r="P6" s="8" t="n">
        <v>-7846.766</v>
      </c>
      <c r="Q6" s="20" t="n">
        <v>6337.003</v>
      </c>
      <c r="R6" s="20" t="n">
        <v>4276.126</v>
      </c>
      <c r="S6" s="20" t="n">
        <v>303.625</v>
      </c>
      <c r="T6" s="8" t="n">
        <v>-10975.444</v>
      </c>
      <c r="U6" s="8" t="n">
        <v>-6973.532</v>
      </c>
      <c r="V6" s="8" t="n">
        <v>-27192.559</v>
      </c>
      <c r="W6" s="8" t="n">
        <v>-1077.38</v>
      </c>
      <c r="X6" s="20" t="n">
        <v>352.478</v>
      </c>
      <c r="Y6" s="8" t="n">
        <v>-26027.013</v>
      </c>
      <c r="Z6" s="8" t="n">
        <v>-30488.34</v>
      </c>
      <c r="AA6" s="8" t="n">
        <v>-46838.632</v>
      </c>
      <c r="AB6" s="8" t="n">
        <v>-12809.786</v>
      </c>
      <c r="AC6" s="8" t="n">
        <v>-35033.5</v>
      </c>
      <c r="AD6" s="8" t="n">
        <v>-46541.023</v>
      </c>
      <c r="AE6" s="20" t="n">
        <v>233.715</v>
      </c>
      <c r="AF6" s="8" t="n">
        <v>-186347.058</v>
      </c>
      <c r="AG6" s="8" t="n">
        <v>-22296.357</v>
      </c>
    </row>
    <row r="7">
      <c r="A7" s="18" t="inlineStr">
        <is>
          <t>Operações com títulos públicos federais — Total</t>
        </is>
      </c>
      <c r="B7" s="19" t="n">
        <v>1809</v>
      </c>
      <c r="C7" s="20" t="n">
        <v>2456.133</v>
      </c>
      <c r="D7" s="20" t="n">
        <v>2309.305</v>
      </c>
      <c r="E7" s="20" t="n">
        <v>9731.575999999999</v>
      </c>
      <c r="F7" s="20" t="n">
        <v>7008.447</v>
      </c>
      <c r="G7" s="20" t="n">
        <v>13671.946</v>
      </c>
      <c r="H7" s="20" t="n">
        <v>9094.619000000001</v>
      </c>
      <c r="I7" s="20" t="n">
        <v>1536.537</v>
      </c>
      <c r="J7" s="20" t="n">
        <v>15954.153</v>
      </c>
      <c r="K7" s="20" t="n">
        <v>3231.403</v>
      </c>
      <c r="L7" s="20" t="n">
        <v>12183.568</v>
      </c>
      <c r="M7" s="20" t="n">
        <v>9945.445</v>
      </c>
      <c r="N7" s="20" t="n">
        <v>13309.467</v>
      </c>
      <c r="O7" s="20" t="n">
        <v>19229.181</v>
      </c>
      <c r="P7" s="8" t="n">
        <v>-18947.937</v>
      </c>
      <c r="Q7" s="20" t="n">
        <v>19521.306</v>
      </c>
      <c r="R7" s="20" t="n">
        <v>111543.835</v>
      </c>
      <c r="S7" s="20" t="n">
        <v>44910.037</v>
      </c>
      <c r="T7" s="20" t="n">
        <v>64648.943</v>
      </c>
      <c r="U7" s="20" t="n">
        <v>88570.25199999999</v>
      </c>
      <c r="V7" s="20" t="n">
        <v>43320.612</v>
      </c>
      <c r="W7" s="8" t="n">
        <v>-18963.647</v>
      </c>
      <c r="X7" s="20" t="n">
        <v>79414.034</v>
      </c>
      <c r="Y7" s="20" t="n">
        <v>45249.193</v>
      </c>
      <c r="Z7" s="20" t="n">
        <v>36530.769</v>
      </c>
      <c r="AA7" s="20" t="n">
        <v>127568.06</v>
      </c>
      <c r="AB7" s="8" t="n">
        <v>-19509.913</v>
      </c>
      <c r="AC7" s="20" t="n">
        <v>76002.281</v>
      </c>
      <c r="AD7" s="20" t="n">
        <v>139533.68</v>
      </c>
      <c r="AE7" s="8" t="n">
        <v>-18023.368</v>
      </c>
      <c r="AF7" s="20" t="n">
        <v>211370.114</v>
      </c>
      <c r="AG7" s="20" t="n">
        <v>73663.50999999999</v>
      </c>
    </row>
    <row r="8">
      <c r="A8" s="21" t="inlineStr">
        <is>
          <t xml:space="preserve">    Títulos — mercado primário</t>
        </is>
      </c>
      <c r="B8" s="22" t="n">
        <v>29004</v>
      </c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8" t="n">
        <v>-41100.11</v>
      </c>
      <c r="X8" s="24" t="n">
        <v>7559.278</v>
      </c>
      <c r="Y8" s="8" t="n">
        <v>-30684.804</v>
      </c>
      <c r="Z8" s="8" t="n">
        <v>-29615.079</v>
      </c>
      <c r="AA8" s="8" t="n">
        <v>-15623.582</v>
      </c>
      <c r="AB8" s="8" t="n">
        <v>-179441.373</v>
      </c>
      <c r="AC8" s="8" t="n">
        <v>-61753.191</v>
      </c>
      <c r="AD8" s="8" t="n">
        <v>-22231.419</v>
      </c>
      <c r="AE8" s="8" t="n">
        <v>-127402.891</v>
      </c>
      <c r="AF8" s="8" t="n">
        <v>-30736.668</v>
      </c>
      <c r="AG8" s="8" t="n">
        <v>-77293.57799999999</v>
      </c>
    </row>
    <row r="9">
      <c r="A9" s="21" t="inlineStr">
        <is>
          <t xml:space="preserve">    Títulos — mercado secundário</t>
        </is>
      </c>
      <c r="B9" s="22" t="n">
        <v>29006</v>
      </c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4" t="n">
        <v>22136.463</v>
      </c>
      <c r="X9" s="24" t="n">
        <v>71854.75599999999</v>
      </c>
      <c r="Y9" s="24" t="n">
        <v>75933.997</v>
      </c>
      <c r="Z9" s="24" t="n">
        <v>66145.848</v>
      </c>
      <c r="AA9" s="24" t="n">
        <v>143191.642</v>
      </c>
      <c r="AB9" s="24" t="n">
        <v>159931.46</v>
      </c>
      <c r="AC9" s="24" t="n">
        <v>137755.472</v>
      </c>
      <c r="AD9" s="24" t="n">
        <v>161765.099</v>
      </c>
      <c r="AE9" s="24" t="n">
        <v>109379.523</v>
      </c>
      <c r="AF9" s="24" t="n">
        <v>242106.782</v>
      </c>
      <c r="AG9" s="24" t="n">
        <v>150957.088</v>
      </c>
    </row>
    <row r="10">
      <c r="A10" s="18" t="inlineStr">
        <is>
          <t>Depósitos de instituições financeiras</t>
        </is>
      </c>
      <c r="B10" s="19" t="n">
        <v>1815</v>
      </c>
      <c r="C10" s="20" t="n">
        <v>941.3390000000001</v>
      </c>
      <c r="D10" s="8" t="n">
        <v>-1399.092</v>
      </c>
      <c r="E10" s="8" t="n">
        <v>-572.405</v>
      </c>
      <c r="F10" s="20" t="n">
        <v>8.602</v>
      </c>
      <c r="G10" s="20" t="n">
        <v>8.346</v>
      </c>
      <c r="H10" s="8" t="n">
        <v>-127.452</v>
      </c>
      <c r="I10" s="8" t="n">
        <v>-614.102</v>
      </c>
      <c r="J10" s="8" t="n">
        <v>-276.31</v>
      </c>
      <c r="K10" s="8" t="n">
        <v>-1665.84</v>
      </c>
      <c r="L10" s="8" t="n">
        <v>-1577.674</v>
      </c>
      <c r="M10" s="8" t="n">
        <v>-1927.55</v>
      </c>
      <c r="N10" s="8" t="n">
        <v>-1645.963</v>
      </c>
      <c r="O10" s="8" t="n">
        <v>-3466.24</v>
      </c>
      <c r="P10" s="20" t="n">
        <v>44336.711</v>
      </c>
      <c r="Q10" s="8" t="n">
        <v>-2009.398</v>
      </c>
      <c r="R10" s="8" t="n">
        <v>-65142.76</v>
      </c>
      <c r="S10" s="20" t="n">
        <v>4361.607</v>
      </c>
      <c r="T10" s="20" t="n">
        <v>3161.327</v>
      </c>
      <c r="U10" s="8" t="n">
        <v>-7111.959</v>
      </c>
      <c r="V10" s="20" t="n">
        <v>6483.102</v>
      </c>
      <c r="W10" s="8" t="n">
        <v>-7713.625</v>
      </c>
      <c r="X10" s="20" t="n">
        <v>1612.164</v>
      </c>
      <c r="Y10" s="20" t="n">
        <v>4770.938</v>
      </c>
      <c r="Z10" s="8" t="n">
        <v>-6759.022</v>
      </c>
      <c r="AA10" s="8" t="n">
        <v>-6659.602</v>
      </c>
      <c r="AB10" s="20" t="n">
        <v>3009.625</v>
      </c>
      <c r="AC10" s="20" t="n">
        <v>246.624</v>
      </c>
      <c r="AD10" s="20" t="n">
        <v>13351.98</v>
      </c>
      <c r="AE10" s="8" t="n">
        <v>-16363.195</v>
      </c>
      <c r="AF10" s="20" t="n">
        <v>35522.321</v>
      </c>
      <c r="AG10" s="8" t="n">
        <v>-20160.853</v>
      </c>
    </row>
    <row r="11">
      <c r="A11" s="18" t="inlineStr">
        <is>
          <t>Depósitos de fundos de investimento</t>
        </is>
      </c>
      <c r="B11" s="19" t="n">
        <v>1816</v>
      </c>
      <c r="C11" s="8" t="n">
        <v>-877.268</v>
      </c>
      <c r="D11" s="8" t="n">
        <v>-1156.858</v>
      </c>
      <c r="E11" s="20" t="n">
        <v>208.816</v>
      </c>
      <c r="F11" s="8" t="n">
        <v>-224.877</v>
      </c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  <c r="AB11" s="25" t="n"/>
      <c r="AC11" s="25" t="n"/>
      <c r="AD11" s="25" t="n"/>
      <c r="AE11" s="25" t="n"/>
      <c r="AF11" s="25" t="n"/>
      <c r="AG11" s="25" t="n"/>
    </row>
    <row r="12">
      <c r="A12" s="18" t="inlineStr">
        <is>
          <t>Assistência financeira</t>
        </is>
      </c>
      <c r="B12" s="19" t="n">
        <v>1812</v>
      </c>
      <c r="C12" s="20" t="n">
        <v>616.651</v>
      </c>
      <c r="D12" s="20" t="n">
        <v>109.636</v>
      </c>
      <c r="E12" s="20" t="n">
        <v>2022.574</v>
      </c>
      <c r="F12" s="8" t="n">
        <v>-80.172</v>
      </c>
      <c r="G12" s="8" t="n">
        <v>-15.259</v>
      </c>
      <c r="H12" s="25" t="n"/>
      <c r="I12" s="25" t="n"/>
      <c r="J12" s="25" t="n"/>
      <c r="K12" s="25" t="n"/>
      <c r="L12" s="25" t="n"/>
      <c r="M12" s="25" t="n"/>
      <c r="N12" s="25" t="n"/>
      <c r="O12" s="25" t="n"/>
      <c r="P12" s="25" t="n"/>
      <c r="Q12" s="25" t="n"/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  <c r="AA12" s="25" t="n"/>
      <c r="AB12" s="25" t="n"/>
      <c r="AC12" s="25" t="n"/>
      <c r="AD12" s="25" t="n"/>
      <c r="AE12" s="25" t="n"/>
      <c r="AF12" s="25" t="n"/>
      <c r="AG12" s="25" t="n"/>
    </row>
    <row r="13">
      <c r="A13" s="18" t="inlineStr">
        <is>
          <t>PROER</t>
        </is>
      </c>
      <c r="B13" s="19" t="n">
        <v>1813</v>
      </c>
      <c r="C13" s="20" t="n">
        <v>1418</v>
      </c>
      <c r="D13" s="20" t="n">
        <v>95.479</v>
      </c>
      <c r="E13" s="8" t="n">
        <v>-20.22</v>
      </c>
      <c r="F13" s="8" t="n">
        <v>-8.420999999999999</v>
      </c>
      <c r="G13" s="25" t="n"/>
      <c r="H13" s="25" t="n"/>
      <c r="I13" s="25" t="n"/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  <c r="AD13" s="25" t="n"/>
      <c r="AE13" s="25" t="n"/>
      <c r="AF13" s="25" t="n"/>
      <c r="AG13" s="25" t="n"/>
    </row>
    <row r="14">
      <c r="A14" s="18" t="inlineStr">
        <is>
          <t>PROES</t>
        </is>
      </c>
      <c r="B14" s="19" t="n">
        <v>1814</v>
      </c>
      <c r="C14" s="25" t="n"/>
      <c r="D14" s="25" t="n"/>
      <c r="E14" s="20" t="n">
        <v>145.672</v>
      </c>
      <c r="F14" s="25" t="n">
        <v>0</v>
      </c>
      <c r="G14" s="25" t="n">
        <v>0</v>
      </c>
      <c r="H14" s="25" t="n"/>
      <c r="I14" s="25" t="n"/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  <c r="AD14" s="25" t="n"/>
      <c r="AE14" s="25" t="n"/>
      <c r="AF14" s="25" t="n"/>
      <c r="AG14" s="25" t="n"/>
    </row>
    <row r="15">
      <c r="A15" s="18" t="inlineStr">
        <is>
          <t>Redesconto do Banco Central</t>
        </is>
      </c>
      <c r="B15" s="19" t="n">
        <v>12484</v>
      </c>
      <c r="C15" s="25" t="n"/>
      <c r="D15" s="25" t="n"/>
      <c r="E15" s="25" t="n"/>
      <c r="F15" s="25" t="n"/>
      <c r="G15" s="25" t="n"/>
      <c r="H15" s="25" t="n">
        <v>0</v>
      </c>
      <c r="I15" s="25" t="n">
        <v>0</v>
      </c>
      <c r="J15" s="8" t="n">
        <v>-0.9320000000000001</v>
      </c>
      <c r="K15" s="8" t="n">
        <v>-3.965</v>
      </c>
      <c r="L15" s="8" t="n">
        <v>-1.331</v>
      </c>
      <c r="M15" s="8" t="n">
        <v>-0.102</v>
      </c>
      <c r="N15" s="8" t="n">
        <v>-0.039</v>
      </c>
      <c r="O15" s="8" t="n">
        <v>-0.05</v>
      </c>
      <c r="P15" s="8" t="n">
        <v>-0.007</v>
      </c>
      <c r="Q15" s="8" t="n">
        <v>-0.031</v>
      </c>
      <c r="R15" s="8" t="n">
        <v>-134.314</v>
      </c>
      <c r="S15" s="8" t="n">
        <v>-0.001</v>
      </c>
      <c r="T15" s="8" t="n">
        <v>-5.424</v>
      </c>
      <c r="U15" s="8" t="n">
        <v>-0.002</v>
      </c>
      <c r="V15" s="25" t="n">
        <v>0</v>
      </c>
      <c r="W15" s="8" t="n">
        <v>-1.959</v>
      </c>
      <c r="X15" s="8" t="n">
        <v>-0.027</v>
      </c>
      <c r="Y15" s="8" t="n">
        <v>-8.92</v>
      </c>
      <c r="Z15" s="20" t="n">
        <v>13.279</v>
      </c>
      <c r="AA15" s="8" t="n">
        <v>-0.06</v>
      </c>
      <c r="AB15" s="20" t="n">
        <v>2.383</v>
      </c>
      <c r="AC15" s="20" t="n">
        <v>50.194</v>
      </c>
      <c r="AD15" s="20" t="n">
        <v>26.424</v>
      </c>
      <c r="AE15" s="25" t="n">
        <v>0</v>
      </c>
      <c r="AF15" s="25" t="n"/>
      <c r="AG15" s="25" t="n"/>
    </row>
    <row r="16">
      <c r="A16" s="18" t="inlineStr">
        <is>
          <t>Operações com derivativos — ajustes</t>
        </is>
      </c>
      <c r="B16" s="19" t="n">
        <v>12487</v>
      </c>
      <c r="C16" s="25" t="n"/>
      <c r="D16" s="25" t="n"/>
      <c r="E16" s="25" t="n"/>
      <c r="F16" s="25" t="n"/>
      <c r="G16" s="25" t="n"/>
      <c r="H16" s="25" t="n"/>
      <c r="I16" s="25" t="n"/>
      <c r="J16" s="20" t="n">
        <v>1707.304</v>
      </c>
      <c r="K16" s="8" t="n">
        <v>-2507.953</v>
      </c>
      <c r="L16" s="8" t="n">
        <v>-1581.56</v>
      </c>
      <c r="M16" s="8" t="n">
        <v>-172.064</v>
      </c>
      <c r="N16" s="20" t="n">
        <v>498.916</v>
      </c>
      <c r="O16" s="20" t="n">
        <v>484.911</v>
      </c>
      <c r="P16" s="20" t="n">
        <v>983.582</v>
      </c>
      <c r="Q16" s="25" t="n">
        <v>0</v>
      </c>
      <c r="R16" s="25" t="n">
        <v>0</v>
      </c>
      <c r="S16" s="8" t="n">
        <v>-31.85</v>
      </c>
      <c r="T16" s="8" t="n">
        <v>-59.77</v>
      </c>
      <c r="U16" s="20" t="n">
        <v>48.593</v>
      </c>
      <c r="V16" s="20" t="n">
        <v>17044.874</v>
      </c>
      <c r="W16" s="20" t="n">
        <v>7794.459</v>
      </c>
      <c r="X16" s="8" t="n">
        <v>-3858.12</v>
      </c>
      <c r="Y16" s="20" t="n">
        <v>1443.181</v>
      </c>
      <c r="Z16" s="20" t="n">
        <v>1519.905</v>
      </c>
      <c r="AA16" s="8" t="n">
        <v>-6928.091</v>
      </c>
      <c r="AB16" s="8" t="n">
        <v>-8028.787</v>
      </c>
      <c r="AC16" s="20" t="n">
        <v>3983.847</v>
      </c>
      <c r="AD16" s="8" t="n">
        <v>-5739.568</v>
      </c>
      <c r="AE16" s="8" t="n">
        <v>-6628.462</v>
      </c>
      <c r="AF16" s="20" t="n">
        <v>19928.148</v>
      </c>
      <c r="AG16" s="20" t="n">
        <v>18302.009</v>
      </c>
    </row>
    <row r="17">
      <c r="A17" s="18" t="inlineStr">
        <is>
          <t>Linhas temporárias especiais de liquidez</t>
        </is>
      </c>
      <c r="B17" s="19" t="n">
        <v>28724</v>
      </c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0" t="n">
        <v>27816.1</v>
      </c>
      <c r="AC17" s="20" t="n">
        <v>4765.473</v>
      </c>
      <c r="AD17" s="8" t="n">
        <v>-17642.115</v>
      </c>
      <c r="AE17" s="25" t="n">
        <v>0</v>
      </c>
      <c r="AF17" s="25" t="n">
        <v>0</v>
      </c>
      <c r="AG17" s="25" t="n">
        <v>0</v>
      </c>
    </row>
    <row r="18">
      <c r="A18" s="18" t="inlineStr">
        <is>
          <t>Autoridade Monetária — Outras operações</t>
        </is>
      </c>
      <c r="B18" s="19" t="n">
        <v>1818</v>
      </c>
      <c r="C18" s="20" t="n">
        <v>385.638</v>
      </c>
      <c r="D18" s="20" t="n">
        <v>3491.052</v>
      </c>
      <c r="E18" s="8" t="n">
        <v>-392.392</v>
      </c>
      <c r="F18" s="8" t="n">
        <v>-17.107</v>
      </c>
      <c r="G18" s="8" t="n">
        <v>-34.728</v>
      </c>
      <c r="H18" s="20" t="n">
        <v>20.253</v>
      </c>
      <c r="I18" s="8" t="n">
        <v>-66.297</v>
      </c>
      <c r="J18" s="20" t="n">
        <v>143.984</v>
      </c>
      <c r="K18" s="20" t="n">
        <v>22.977</v>
      </c>
      <c r="L18" s="20" t="n">
        <v>214.898</v>
      </c>
      <c r="M18" s="20" t="n">
        <v>144.777</v>
      </c>
      <c r="N18" s="20" t="n">
        <v>195.164</v>
      </c>
      <c r="O18" s="20" t="n">
        <v>137.516</v>
      </c>
      <c r="P18" s="20" t="n">
        <v>182.436</v>
      </c>
      <c r="Q18" s="20" t="n">
        <v>541.211</v>
      </c>
      <c r="R18" s="20" t="n">
        <v>704.9690000000001</v>
      </c>
      <c r="S18" s="8" t="n">
        <v>-33.262</v>
      </c>
      <c r="T18" s="20" t="n">
        <v>6957.731</v>
      </c>
      <c r="U18" s="20" t="n">
        <v>2528.586</v>
      </c>
      <c r="V18" s="20" t="n">
        <v>185.497</v>
      </c>
      <c r="W18" s="20" t="n">
        <v>437.373</v>
      </c>
      <c r="X18" s="20" t="n">
        <v>244.327</v>
      </c>
      <c r="Y18" s="8" t="n">
        <v>-55.314</v>
      </c>
      <c r="Z18" s="20" t="n">
        <v>1520.697</v>
      </c>
      <c r="AA18" s="8" t="n">
        <v>-3362.213</v>
      </c>
      <c r="AB18" s="8" t="n">
        <v>-1835.66</v>
      </c>
      <c r="AC18" s="8" t="n">
        <v>-11219.235</v>
      </c>
      <c r="AD18" s="8" t="n">
        <v>-19082.092</v>
      </c>
      <c r="AE18" s="8" t="n">
        <v>-22381.99</v>
      </c>
      <c r="AF18" s="8" t="n">
        <v>-10450.304</v>
      </c>
      <c r="AG18" s="20" t="n">
        <v>2448.268</v>
      </c>
    </row>
    <row r="19">
      <c r="A19" s="33" t="inlineStr">
        <is>
          <t>Base monetária restrita</t>
        </is>
      </c>
      <c r="B19" s="34" t="n">
        <v>1788</v>
      </c>
      <c r="C19" s="11" t="n">
        <v>21681.591</v>
      </c>
      <c r="D19" s="11" t="n">
        <v>19795.697</v>
      </c>
      <c r="E19" s="11" t="n">
        <v>31828.332</v>
      </c>
      <c r="F19" s="11" t="n">
        <v>39184.378</v>
      </c>
      <c r="G19" s="11" t="n">
        <v>48430.157</v>
      </c>
      <c r="H19" s="11" t="n">
        <v>47686.213</v>
      </c>
      <c r="I19" s="11" t="n">
        <v>53255.971</v>
      </c>
      <c r="J19" s="11" t="n">
        <v>73302.272</v>
      </c>
      <c r="K19" s="11" t="n">
        <v>73219.136</v>
      </c>
      <c r="L19" s="11" t="n">
        <v>88732.677</v>
      </c>
      <c r="M19" s="11" t="n">
        <v>101247.235</v>
      </c>
      <c r="N19" s="11" t="n">
        <v>121102.001</v>
      </c>
      <c r="O19" s="11" t="n">
        <v>146616.867</v>
      </c>
      <c r="P19" s="11" t="n">
        <v>147549.705</v>
      </c>
      <c r="Q19" s="11" t="n">
        <v>166072.835</v>
      </c>
      <c r="R19" s="11" t="n">
        <v>206853.322</v>
      </c>
      <c r="S19" s="11" t="n">
        <v>214235.311</v>
      </c>
      <c r="T19" s="11" t="n">
        <v>233371.452</v>
      </c>
      <c r="U19" s="11" t="n">
        <v>249509.778</v>
      </c>
      <c r="V19" s="11" t="n">
        <v>263528.517</v>
      </c>
      <c r="W19" s="11" t="n">
        <v>255288.922</v>
      </c>
      <c r="X19" s="11" t="n">
        <v>270287.146</v>
      </c>
      <c r="Y19" s="11" t="n">
        <v>296755.456</v>
      </c>
      <c r="Z19" s="11" t="n">
        <v>302049.461</v>
      </c>
      <c r="AA19" s="11" t="n">
        <v>316586.707</v>
      </c>
      <c r="AB19" s="11" t="n">
        <v>431536.653</v>
      </c>
      <c r="AC19" s="11" t="n">
        <v>409183.519</v>
      </c>
      <c r="AD19" s="11" t="n">
        <v>419659.918</v>
      </c>
      <c r="AE19" s="11" t="n">
        <v>422718.628</v>
      </c>
      <c r="AF19" s="11" t="n">
        <v>451213.588</v>
      </c>
      <c r="AG19" s="11" t="n">
        <v>447096.654</v>
      </c>
    </row>
    <row r="20">
      <c r="A20" s="18" t="inlineStr">
        <is>
          <t xml:space="preserve">    Papel-moeda em circulação</t>
        </is>
      </c>
      <c r="B20" s="19" t="n">
        <v>1786</v>
      </c>
      <c r="C20" s="25" t="n">
        <v>13770.097</v>
      </c>
      <c r="D20" s="25" t="n">
        <v>17187.949</v>
      </c>
      <c r="E20" s="25" t="n">
        <v>20250.732</v>
      </c>
      <c r="F20" s="25" t="n">
        <v>24166.79</v>
      </c>
      <c r="G20" s="25" t="n">
        <v>29837.941</v>
      </c>
      <c r="H20" s="25" t="n">
        <v>32633.056</v>
      </c>
      <c r="I20" s="25" t="n">
        <v>37668.836</v>
      </c>
      <c r="J20" s="25" t="n">
        <v>49931.066</v>
      </c>
      <c r="K20" s="25" t="n">
        <v>51363.863</v>
      </c>
      <c r="L20" s="25" t="n">
        <v>61935.635</v>
      </c>
      <c r="M20" s="25" t="n">
        <v>70033.641</v>
      </c>
      <c r="N20" s="25" t="n">
        <v>85824.753</v>
      </c>
      <c r="O20" s="25" t="n">
        <v>102885.047</v>
      </c>
      <c r="P20" s="25" t="n">
        <v>115590.704</v>
      </c>
      <c r="Q20" s="25" t="n">
        <v>131861.185</v>
      </c>
      <c r="R20" s="25" t="n">
        <v>151145.368</v>
      </c>
      <c r="S20" s="25" t="n">
        <v>162769.67</v>
      </c>
      <c r="T20" s="25" t="n">
        <v>187434.736</v>
      </c>
      <c r="U20" s="25" t="n">
        <v>204052.42</v>
      </c>
      <c r="V20" s="25" t="n">
        <v>220853.706</v>
      </c>
      <c r="W20" s="25" t="n">
        <v>225485.184</v>
      </c>
      <c r="X20" s="25" t="n">
        <v>232145.593</v>
      </c>
      <c r="Y20" s="25" t="n">
        <v>250363.681</v>
      </c>
      <c r="Z20" s="25" t="n">
        <v>264967.669</v>
      </c>
      <c r="AA20" s="25" t="n">
        <v>280685.185</v>
      </c>
      <c r="AB20" s="25" t="n">
        <v>370441.036</v>
      </c>
      <c r="AC20" s="25" t="n">
        <v>339013.043</v>
      </c>
      <c r="AD20" s="25" t="n">
        <v>342334.138</v>
      </c>
      <c r="AE20" s="25" t="n">
        <v>341616.828</v>
      </c>
      <c r="AF20" s="25" t="n">
        <v>355858.101</v>
      </c>
      <c r="AG20" s="25" t="n">
        <v>368625.466</v>
      </c>
    </row>
    <row r="21">
      <c r="A21" s="18" t="inlineStr">
        <is>
          <t xml:space="preserve">    Reservas bancárias</t>
        </is>
      </c>
      <c r="B21" s="19" t="n">
        <v>1787</v>
      </c>
      <c r="C21" s="25" t="n">
        <v>7911.494</v>
      </c>
      <c r="D21" s="25" t="n">
        <v>2607.748</v>
      </c>
      <c r="E21" s="25" t="n">
        <v>11577.6</v>
      </c>
      <c r="F21" s="25" t="n">
        <v>15017.588</v>
      </c>
      <c r="G21" s="25" t="n">
        <v>18592.216</v>
      </c>
      <c r="H21" s="25" t="n">
        <v>15053.157</v>
      </c>
      <c r="I21" s="25" t="n">
        <v>15587.135</v>
      </c>
      <c r="J21" s="25" t="n">
        <v>23371.206</v>
      </c>
      <c r="K21" s="25" t="n">
        <v>21855.273</v>
      </c>
      <c r="L21" s="25" t="n">
        <v>26797.042</v>
      </c>
      <c r="M21" s="25" t="n">
        <v>31213.594</v>
      </c>
      <c r="N21" s="25" t="n">
        <v>35277.248</v>
      </c>
      <c r="O21" s="25" t="n">
        <v>43731.82</v>
      </c>
      <c r="P21" s="25" t="n">
        <v>31959.001</v>
      </c>
      <c r="Q21" s="25" t="n">
        <v>34211.65</v>
      </c>
      <c r="R21" s="25" t="n">
        <v>55707.954</v>
      </c>
      <c r="S21" s="25" t="n">
        <v>51465.641</v>
      </c>
      <c r="T21" s="25" t="n">
        <v>45936.716</v>
      </c>
      <c r="U21" s="25" t="n">
        <v>45457.358</v>
      </c>
      <c r="V21" s="25" t="n">
        <v>42674.811</v>
      </c>
      <c r="W21" s="25" t="n">
        <v>29803.738</v>
      </c>
      <c r="X21" s="25" t="n">
        <v>38141.553</v>
      </c>
      <c r="Y21" s="25" t="n">
        <v>46391.775</v>
      </c>
      <c r="Z21" s="25" t="n">
        <v>37081.792</v>
      </c>
      <c r="AA21" s="25" t="n">
        <v>35901.522</v>
      </c>
      <c r="AB21" s="25" t="n">
        <v>61095.617</v>
      </c>
      <c r="AC21" s="25" t="n">
        <v>70170.476</v>
      </c>
      <c r="AD21" s="25" t="n">
        <v>77325.78</v>
      </c>
      <c r="AE21" s="25" t="n">
        <v>81101.8</v>
      </c>
      <c r="AF21" s="25" t="n">
        <v>95355.488</v>
      </c>
      <c r="AG21" s="25" t="n">
        <v>78471.18799999999</v>
      </c>
    </row>
    <row r="23">
      <c r="A23" s="16" t="inlineStr">
        <is>
          <t>Valores em R$ milhões. Verde = expansão da base; vermelho = contração. Coluna 2025* = até 12/2025.</t>
        </is>
      </c>
    </row>
  </sheetData>
  <autoFilter ref="A4:AG21"/>
  <mergeCells count="2">
    <mergeCell ref="A2:AI2"/>
    <mergeCell ref="A1:AI1"/>
  </mergeCells>
  <pageMargins left="0.75" right="0.75" top="1" bottom="1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76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5" t="inlineStr">
        <is>
          <t>Painel mensal — fatores (fluxo) e base (estoque)</t>
        </is>
      </c>
    </row>
    <row r="3">
      <c r="A3" s="2" t="inlineStr">
        <is>
          <t>mes</t>
        </is>
      </c>
      <c r="B3" s="2" t="inlineStr">
        <is>
          <t>ano</t>
        </is>
      </c>
      <c r="C3" s="2" t="inlineStr">
        <is>
          <t>mes_num</t>
        </is>
      </c>
      <c r="D3" s="2" t="inlineStr">
        <is>
          <t>1810 Tesouro Nacional — Conta única</t>
        </is>
      </c>
      <c r="E3" s="2" t="inlineStr">
        <is>
          <t>1811 Operações com o setor externo</t>
        </is>
      </c>
      <c r="F3" s="2" t="inlineStr">
        <is>
          <t>1809 Operações com títulos públicos federais — Total</t>
        </is>
      </c>
      <c r="G3" s="2" t="inlineStr">
        <is>
          <t>29004 Títulos — mercado primário</t>
        </is>
      </c>
      <c r="H3" s="2" t="inlineStr">
        <is>
          <t>29006 Títulos — mercado secundário</t>
        </is>
      </c>
      <c r="I3" s="2" t="inlineStr">
        <is>
          <t>1815 Depósitos de instituições financeiras</t>
        </is>
      </c>
      <c r="J3" s="2" t="inlineStr">
        <is>
          <t>1816 Depósitos de fundos de investimento</t>
        </is>
      </c>
      <c r="K3" s="2" t="inlineStr">
        <is>
          <t>1812 Assistência financeira</t>
        </is>
      </c>
      <c r="L3" s="2" t="inlineStr">
        <is>
          <t>1813 PROER</t>
        </is>
      </c>
      <c r="M3" s="2" t="inlineStr">
        <is>
          <t>1814 PROES</t>
        </is>
      </c>
      <c r="N3" s="2" t="inlineStr">
        <is>
          <t>12484 Redesconto do Banco Central</t>
        </is>
      </c>
      <c r="O3" s="2" t="inlineStr">
        <is>
          <t>12487 Operações com derivativos — ajustes</t>
        </is>
      </c>
      <c r="P3" s="2" t="inlineStr">
        <is>
          <t>28724 Linhas temporárias especiais de liquidez</t>
        </is>
      </c>
      <c r="Q3" s="2" t="inlineStr">
        <is>
          <t>1818 Autoridade Monetária — Outras operações</t>
        </is>
      </c>
      <c r="R3" s="2" t="inlineStr">
        <is>
          <t>1788 Base monetária restrita</t>
        </is>
      </c>
      <c r="S3" s="2" t="inlineStr">
        <is>
          <t>1786 Papel-moeda em circulação</t>
        </is>
      </c>
      <c r="T3" s="2" t="inlineStr">
        <is>
          <t>1787 Reservas bancárias</t>
        </is>
      </c>
      <c r="U3" s="2" t="inlineStr">
        <is>
          <t>Δ base restrita</t>
        </is>
      </c>
      <c r="V3" s="2" t="inlineStr">
        <is>
          <t>Σ fatores</t>
        </is>
      </c>
      <c r="W3" s="2" t="inlineStr">
        <is>
          <t>Resíduo</t>
        </is>
      </c>
    </row>
    <row r="4">
      <c r="A4" s="35" t="inlineStr">
        <is>
          <t>1994-12</t>
        </is>
      </c>
      <c r="B4" s="35" t="n">
        <v>1994</v>
      </c>
      <c r="C4" s="35" t="n">
        <v>12</v>
      </c>
      <c r="D4" s="36" t="n">
        <v>-448.325</v>
      </c>
      <c r="E4" s="36" t="n">
        <v>-2788.912</v>
      </c>
      <c r="F4" s="36" t="n">
        <v>6655.957</v>
      </c>
      <c r="G4" s="36" t="n">
        <v/>
      </c>
      <c r="H4" s="36" t="n">
        <v/>
      </c>
      <c r="I4" s="36" t="n">
        <v>-986.432</v>
      </c>
      <c r="J4" s="36" t="n">
        <v>-71.941</v>
      </c>
      <c r="K4" s="36" t="n">
        <v>2091.789</v>
      </c>
      <c r="L4" s="36" t="n">
        <v/>
      </c>
      <c r="M4" s="36" t="n">
        <v/>
      </c>
      <c r="N4" s="36" t="n">
        <v/>
      </c>
      <c r="O4" s="36" t="n">
        <v/>
      </c>
      <c r="P4" s="36" t="n">
        <v/>
      </c>
      <c r="Q4" s="36" t="n">
        <v>-23.117</v>
      </c>
      <c r="R4" s="36" t="n">
        <v>17684.551</v>
      </c>
      <c r="S4" s="36" t="n">
        <v>10045.617</v>
      </c>
      <c r="T4" s="36" t="n">
        <v>7638.934</v>
      </c>
      <c r="U4" s="36" t="n">
        <v/>
      </c>
      <c r="V4" s="36" t="n">
        <v>4429.019</v>
      </c>
      <c r="W4" s="36" t="n">
        <v/>
      </c>
    </row>
    <row r="5">
      <c r="A5" s="37" t="inlineStr">
        <is>
          <t>1995-01</t>
        </is>
      </c>
      <c r="B5" s="37" t="n">
        <v>1995</v>
      </c>
      <c r="C5" s="37" t="n">
        <v>1</v>
      </c>
      <c r="D5" s="38" t="n">
        <v>-161.586</v>
      </c>
      <c r="E5" s="38" t="n">
        <v>-127.48</v>
      </c>
      <c r="F5" s="38" t="n">
        <v>1808.049</v>
      </c>
      <c r="G5" s="38" t="n">
        <v/>
      </c>
      <c r="H5" s="38" t="n">
        <v/>
      </c>
      <c r="I5" s="38" t="n">
        <v>-298.773</v>
      </c>
      <c r="J5" s="38" t="n">
        <v>-524.669</v>
      </c>
      <c r="K5" s="38" t="n">
        <v>-1683.633</v>
      </c>
      <c r="L5" s="38" t="n">
        <v/>
      </c>
      <c r="M5" s="38" t="n">
        <v/>
      </c>
      <c r="N5" s="38" t="n">
        <v/>
      </c>
      <c r="O5" s="38" t="n">
        <v/>
      </c>
      <c r="P5" s="38" t="n">
        <v/>
      </c>
      <c r="Q5" s="38" t="n">
        <v>40.342</v>
      </c>
      <c r="R5" s="38" t="n">
        <v>16736.801</v>
      </c>
      <c r="S5" s="38" t="n">
        <v>7957.394</v>
      </c>
      <c r="T5" s="38" t="n">
        <v>8779.406999999999</v>
      </c>
      <c r="U5" s="38" t="n">
        <v>-947.75</v>
      </c>
      <c r="V5" s="38" t="n">
        <v>-947.75</v>
      </c>
      <c r="W5" s="38" t="n">
        <v>0</v>
      </c>
    </row>
    <row r="6">
      <c r="A6" s="35" t="inlineStr">
        <is>
          <t>1995-02</t>
        </is>
      </c>
      <c r="B6" s="35" t="n">
        <v>1995</v>
      </c>
      <c r="C6" s="35" t="n">
        <v>2</v>
      </c>
      <c r="D6" s="36" t="n">
        <v>761.785</v>
      </c>
      <c r="E6" s="36" t="n">
        <v>-197.619</v>
      </c>
      <c r="F6" s="36" t="n">
        <v>489.771</v>
      </c>
      <c r="G6" s="36" t="n">
        <v/>
      </c>
      <c r="H6" s="36" t="n">
        <v/>
      </c>
      <c r="I6" s="36" t="n">
        <v>-251.985</v>
      </c>
      <c r="J6" s="36" t="n">
        <v>-263.504</v>
      </c>
      <c r="K6" s="36" t="n">
        <v>-1467.308</v>
      </c>
      <c r="L6" s="36" t="n">
        <v/>
      </c>
      <c r="M6" s="36" t="n">
        <v/>
      </c>
      <c r="N6" s="36" t="n">
        <v/>
      </c>
      <c r="O6" s="36" t="n">
        <v/>
      </c>
      <c r="P6" s="36" t="n">
        <v/>
      </c>
      <c r="Q6" s="36" t="n">
        <v>13.117</v>
      </c>
      <c r="R6" s="36" t="n">
        <v>15821.058</v>
      </c>
      <c r="S6" s="36" t="n">
        <v>9327.589</v>
      </c>
      <c r="T6" s="36" t="n">
        <v>6493.469</v>
      </c>
      <c r="U6" s="36" t="n">
        <v>-915.7430000000001</v>
      </c>
      <c r="V6" s="36" t="n">
        <v>-915.7430000000001</v>
      </c>
      <c r="W6" s="36" t="n">
        <v>0</v>
      </c>
    </row>
    <row r="7">
      <c r="A7" s="37" t="inlineStr">
        <is>
          <t>1995-03</t>
        </is>
      </c>
      <c r="B7" s="37" t="n">
        <v>1995</v>
      </c>
      <c r="C7" s="37" t="n">
        <v>3</v>
      </c>
      <c r="D7" s="38" t="n">
        <v>-590.883</v>
      </c>
      <c r="E7" s="38" t="n">
        <v>-3832.98</v>
      </c>
      <c r="F7" s="38" t="n">
        <v>3243.973</v>
      </c>
      <c r="G7" s="38" t="n">
        <v/>
      </c>
      <c r="H7" s="38" t="n">
        <v/>
      </c>
      <c r="I7" s="38" t="n">
        <v>-113.734</v>
      </c>
      <c r="J7" s="38" t="n">
        <v>-121.784</v>
      </c>
      <c r="K7" s="38" t="n">
        <v>1085.342</v>
      </c>
      <c r="L7" s="38" t="n">
        <v/>
      </c>
      <c r="M7" s="38" t="n">
        <v/>
      </c>
      <c r="N7" s="38" t="n">
        <v/>
      </c>
      <c r="O7" s="38" t="n">
        <v/>
      </c>
      <c r="P7" s="38" t="n">
        <v/>
      </c>
      <c r="Q7" s="38" t="n">
        <v>91.11199999999999</v>
      </c>
      <c r="R7" s="38" t="n">
        <v>15582.104</v>
      </c>
      <c r="S7" s="38" t="n">
        <v>7852.447</v>
      </c>
      <c r="T7" s="38" t="n">
        <v>7729.657</v>
      </c>
      <c r="U7" s="38" t="n">
        <v>-238.954</v>
      </c>
      <c r="V7" s="38" t="n">
        <v>-238.954</v>
      </c>
      <c r="W7" s="38" t="n">
        <v>0</v>
      </c>
    </row>
    <row r="8">
      <c r="A8" s="35" t="inlineStr">
        <is>
          <t>1995-04</t>
        </is>
      </c>
      <c r="B8" s="35" t="n">
        <v>1995</v>
      </c>
      <c r="C8" s="35" t="n">
        <v>4</v>
      </c>
      <c r="D8" s="36" t="n">
        <v>-1992.572</v>
      </c>
      <c r="E8" s="36" t="n">
        <v>-100.513</v>
      </c>
      <c r="F8" s="36" t="n">
        <v>1386.369</v>
      </c>
      <c r="G8" s="36" t="n">
        <v/>
      </c>
      <c r="H8" s="36" t="n">
        <v/>
      </c>
      <c r="I8" s="36" t="n">
        <v>-29.37</v>
      </c>
      <c r="J8" s="36" t="n">
        <v>264.255</v>
      </c>
      <c r="K8" s="36" t="n">
        <v>-1432.619</v>
      </c>
      <c r="L8" s="36" t="n">
        <v/>
      </c>
      <c r="M8" s="36" t="n">
        <v/>
      </c>
      <c r="N8" s="36" t="n">
        <v/>
      </c>
      <c r="O8" s="36" t="n">
        <v/>
      </c>
      <c r="P8" s="36" t="n">
        <v/>
      </c>
      <c r="Q8" s="36" t="n">
        <v>150.307</v>
      </c>
      <c r="R8" s="36" t="n">
        <v>13827.961</v>
      </c>
      <c r="S8" s="36" t="n">
        <v>8188.849</v>
      </c>
      <c r="T8" s="36" t="n">
        <v>5639.112</v>
      </c>
      <c r="U8" s="36" t="n">
        <v>-1754.143</v>
      </c>
      <c r="V8" s="36" t="n">
        <v>-1754.143</v>
      </c>
      <c r="W8" s="36" t="n">
        <v>0</v>
      </c>
    </row>
    <row r="9">
      <c r="A9" s="37" t="inlineStr">
        <is>
          <t>1995-05</t>
        </is>
      </c>
      <c r="B9" s="37" t="n">
        <v>1995</v>
      </c>
      <c r="C9" s="37" t="n">
        <v>5</v>
      </c>
      <c r="D9" s="38" t="n">
        <v>-510.922</v>
      </c>
      <c r="E9" s="38" t="n">
        <v>1564.718</v>
      </c>
      <c r="F9" s="38" t="n">
        <v>-235.365</v>
      </c>
      <c r="G9" s="38" t="n">
        <v/>
      </c>
      <c r="H9" s="38" t="n">
        <v/>
      </c>
      <c r="I9" s="38" t="n">
        <v>-217.194</v>
      </c>
      <c r="J9" s="38" t="n">
        <v>-17.552</v>
      </c>
      <c r="K9" s="38" t="n">
        <v>-699.082</v>
      </c>
      <c r="L9" s="38" t="n">
        <v/>
      </c>
      <c r="M9" s="38" t="n">
        <v/>
      </c>
      <c r="N9" s="38" t="n">
        <v/>
      </c>
      <c r="O9" s="38" t="n">
        <v/>
      </c>
      <c r="P9" s="38" t="n">
        <v/>
      </c>
      <c r="Q9" s="38" t="n">
        <v>99.642</v>
      </c>
      <c r="R9" s="38" t="n">
        <v>13812.206</v>
      </c>
      <c r="S9" s="38" t="n">
        <v>7636.178</v>
      </c>
      <c r="T9" s="38" t="n">
        <v>6176.028</v>
      </c>
      <c r="U9" s="38" t="n">
        <v>-15.755</v>
      </c>
      <c r="V9" s="38" t="n">
        <v>-15.755</v>
      </c>
      <c r="W9" s="38" t="n">
        <v>0</v>
      </c>
    </row>
    <row r="10">
      <c r="A10" s="35" t="inlineStr">
        <is>
          <t>1995-06</t>
        </is>
      </c>
      <c r="B10" s="35" t="n">
        <v>1995</v>
      </c>
      <c r="C10" s="35" t="n">
        <v>6</v>
      </c>
      <c r="D10" s="36" t="n">
        <v>-1303.03</v>
      </c>
      <c r="E10" s="36" t="n">
        <v>-678.346</v>
      </c>
      <c r="F10" s="36" t="n">
        <v>2332.503</v>
      </c>
      <c r="G10" s="36" t="n">
        <v/>
      </c>
      <c r="H10" s="36" t="n">
        <v/>
      </c>
      <c r="I10" s="36" t="n">
        <v>-228.927</v>
      </c>
      <c r="J10" s="36" t="n">
        <v>74.768</v>
      </c>
      <c r="K10" s="36" t="n">
        <v>-227.638</v>
      </c>
      <c r="L10" s="36" t="n">
        <v/>
      </c>
      <c r="M10" s="36" t="n">
        <v/>
      </c>
      <c r="N10" s="36" t="n">
        <v/>
      </c>
      <c r="O10" s="36" t="n">
        <v/>
      </c>
      <c r="P10" s="36" t="n">
        <v/>
      </c>
      <c r="Q10" s="36" t="n">
        <v>161.861</v>
      </c>
      <c r="R10" s="36" t="n">
        <v>13943.397</v>
      </c>
      <c r="S10" s="36" t="n">
        <v>8370.027</v>
      </c>
      <c r="T10" s="36" t="n">
        <v>5573.37</v>
      </c>
      <c r="U10" s="36" t="n">
        <v>131.191</v>
      </c>
      <c r="V10" s="36" t="n">
        <v>131.191</v>
      </c>
      <c r="W10" s="36" t="n">
        <v>0</v>
      </c>
    </row>
    <row r="11">
      <c r="A11" s="37" t="inlineStr">
        <is>
          <t>1995-07</t>
        </is>
      </c>
      <c r="B11" s="37" t="n">
        <v>1995</v>
      </c>
      <c r="C11" s="37" t="n">
        <v>7</v>
      </c>
      <c r="D11" s="38" t="n">
        <v>1128.11</v>
      </c>
      <c r="E11" s="38" t="n">
        <v>7017.46</v>
      </c>
      <c r="F11" s="38" t="n">
        <v>-9728.203</v>
      </c>
      <c r="G11" s="38" t="n">
        <v/>
      </c>
      <c r="H11" s="38" t="n">
        <v/>
      </c>
      <c r="I11" s="38" t="n">
        <v>10.262</v>
      </c>
      <c r="J11" s="38" t="n">
        <v>-113.102</v>
      </c>
      <c r="K11" s="38" t="n">
        <v>2786.509</v>
      </c>
      <c r="L11" s="38" t="n">
        <v/>
      </c>
      <c r="M11" s="38" t="n">
        <v/>
      </c>
      <c r="N11" s="38" t="n">
        <v/>
      </c>
      <c r="O11" s="38" t="n">
        <v/>
      </c>
      <c r="P11" s="38" t="n">
        <v/>
      </c>
      <c r="Q11" s="38" t="n">
        <v>-10.81</v>
      </c>
      <c r="R11" s="38" t="n">
        <v>15033.623</v>
      </c>
      <c r="S11" s="38" t="n">
        <v>8492.032999999999</v>
      </c>
      <c r="T11" s="38" t="n">
        <v>6541.59</v>
      </c>
      <c r="U11" s="38" t="n">
        <v>1090.226</v>
      </c>
      <c r="V11" s="38" t="n">
        <v>1090.226</v>
      </c>
      <c r="W11" s="38" t="n">
        <v>0</v>
      </c>
    </row>
    <row r="12">
      <c r="A12" s="35" t="inlineStr">
        <is>
          <t>1995-08</t>
        </is>
      </c>
      <c r="B12" s="35" t="n">
        <v>1995</v>
      </c>
      <c r="C12" s="35" t="n">
        <v>8</v>
      </c>
      <c r="D12" s="36" t="n">
        <v>-706.856</v>
      </c>
      <c r="E12" s="36" t="n">
        <v>5794.707</v>
      </c>
      <c r="F12" s="36" t="n">
        <v>-7511.716</v>
      </c>
      <c r="G12" s="36" t="n">
        <v/>
      </c>
      <c r="H12" s="36" t="n">
        <v/>
      </c>
      <c r="I12" s="36" t="n">
        <v>568.261</v>
      </c>
      <c r="J12" s="36" t="n">
        <v>-103.141</v>
      </c>
      <c r="K12" s="36" t="n">
        <v>602.096</v>
      </c>
      <c r="L12" s="36" t="n">
        <v/>
      </c>
      <c r="M12" s="36" t="n">
        <v/>
      </c>
      <c r="N12" s="36" t="n">
        <v/>
      </c>
      <c r="O12" s="36" t="n">
        <v/>
      </c>
      <c r="P12" s="36" t="n">
        <v/>
      </c>
      <c r="Q12" s="36" t="n">
        <v>1936.702</v>
      </c>
      <c r="R12" s="36" t="n">
        <v>15613.676</v>
      </c>
      <c r="S12" s="36" t="n">
        <v>8728.674999999999</v>
      </c>
      <c r="T12" s="36" t="n">
        <v>6885.001</v>
      </c>
      <c r="U12" s="36" t="n">
        <v>580.053</v>
      </c>
      <c r="V12" s="36" t="n">
        <v>580.053</v>
      </c>
      <c r="W12" s="36" t="n">
        <v>0</v>
      </c>
    </row>
    <row r="13">
      <c r="A13" s="37" t="inlineStr">
        <is>
          <t>1995-09</t>
        </is>
      </c>
      <c r="B13" s="37" t="n">
        <v>1995</v>
      </c>
      <c r="C13" s="37" t="n">
        <v>9</v>
      </c>
      <c r="D13" s="38" t="n">
        <v>352.998</v>
      </c>
      <c r="E13" s="38" t="n">
        <v>810.068</v>
      </c>
      <c r="F13" s="38" t="n">
        <v>-4096.538</v>
      </c>
      <c r="G13" s="38" t="n">
        <v/>
      </c>
      <c r="H13" s="38" t="n">
        <v/>
      </c>
      <c r="I13" s="38" t="n">
        <v>2295.196</v>
      </c>
      <c r="J13" s="38" t="n">
        <v>685.081</v>
      </c>
      <c r="K13" s="38" t="n">
        <v>-2255.851</v>
      </c>
      <c r="L13" s="38" t="n">
        <v/>
      </c>
      <c r="M13" s="38" t="n">
        <v/>
      </c>
      <c r="N13" s="38" t="n">
        <v/>
      </c>
      <c r="O13" s="38" t="n">
        <v/>
      </c>
      <c r="P13" s="38" t="n">
        <v/>
      </c>
      <c r="Q13" s="38" t="n">
        <v>49.389</v>
      </c>
      <c r="R13" s="38" t="n">
        <v>13454.019</v>
      </c>
      <c r="S13" s="38" t="n">
        <v>9280.036</v>
      </c>
      <c r="T13" s="38" t="n">
        <v>4173.983</v>
      </c>
      <c r="U13" s="38" t="n">
        <v>-2159.657</v>
      </c>
      <c r="V13" s="38" t="n">
        <v>-2159.657</v>
      </c>
      <c r="W13" s="38" t="n">
        <v>0</v>
      </c>
    </row>
    <row r="14">
      <c r="A14" s="35" t="inlineStr">
        <is>
          <t>1995-10</t>
        </is>
      </c>
      <c r="B14" s="35" t="n">
        <v>1995</v>
      </c>
      <c r="C14" s="35" t="n">
        <v>10</v>
      </c>
      <c r="D14" s="36" t="n">
        <v>-844.9450000000001</v>
      </c>
      <c r="E14" s="36" t="n">
        <v>3002.718</v>
      </c>
      <c r="F14" s="36" t="n">
        <v>-1588.934</v>
      </c>
      <c r="G14" s="36" t="n">
        <v/>
      </c>
      <c r="H14" s="36" t="n">
        <v/>
      </c>
      <c r="I14" s="36" t="n">
        <v>1224.572</v>
      </c>
      <c r="J14" s="36" t="n">
        <v>668.122</v>
      </c>
      <c r="K14" s="36" t="n">
        <v>-616.587</v>
      </c>
      <c r="L14" s="36" t="n">
        <v/>
      </c>
      <c r="M14" s="36" t="n">
        <v/>
      </c>
      <c r="N14" s="36" t="n">
        <v/>
      </c>
      <c r="O14" s="36" t="n">
        <v/>
      </c>
      <c r="P14" s="36" t="n">
        <v/>
      </c>
      <c r="Q14" s="36" t="n">
        <v>53.231</v>
      </c>
      <c r="R14" s="36" t="n">
        <v>15352.196</v>
      </c>
      <c r="S14" s="36" t="n">
        <v>9344.466</v>
      </c>
      <c r="T14" s="36" t="n">
        <v>6007.73</v>
      </c>
      <c r="U14" s="36" t="n">
        <v>1898.177</v>
      </c>
      <c r="V14" s="36" t="n">
        <v>1898.177</v>
      </c>
      <c r="W14" s="36" t="n">
        <v>0</v>
      </c>
    </row>
    <row r="15">
      <c r="A15" s="37" t="inlineStr">
        <is>
          <t>1995-11</t>
        </is>
      </c>
      <c r="B15" s="37" t="n">
        <v>1995</v>
      </c>
      <c r="C15" s="37" t="n">
        <v>11</v>
      </c>
      <c r="D15" s="38" t="n">
        <v>-1025.056</v>
      </c>
      <c r="E15" s="38" t="n">
        <v>1379.024</v>
      </c>
      <c r="F15" s="38" t="n">
        <v>-3161.029</v>
      </c>
      <c r="G15" s="38" t="n">
        <v/>
      </c>
      <c r="H15" s="38" t="n">
        <v/>
      </c>
      <c r="I15" s="38" t="n">
        <v>176.284</v>
      </c>
      <c r="J15" s="38" t="n">
        <v>-1379.254</v>
      </c>
      <c r="K15" s="38" t="n">
        <v>19.614</v>
      </c>
      <c r="L15" s="38" t="n">
        <v/>
      </c>
      <c r="M15" s="38" t="n">
        <v/>
      </c>
      <c r="N15" s="38" t="n">
        <v/>
      </c>
      <c r="O15" s="38" t="n">
        <v/>
      </c>
      <c r="P15" s="38" t="n">
        <v/>
      </c>
      <c r="Q15" s="38" t="n">
        <v>7.238</v>
      </c>
      <c r="R15" s="38" t="n">
        <v>15559.017</v>
      </c>
      <c r="S15" s="38" t="n">
        <v>10323.813</v>
      </c>
      <c r="T15" s="38" t="n">
        <v>5235.204</v>
      </c>
      <c r="U15" s="38" t="n">
        <v>206.821</v>
      </c>
      <c r="V15" s="38" t="n">
        <v>-3983.179</v>
      </c>
      <c r="W15" s="38" t="n">
        <v>-4190</v>
      </c>
    </row>
    <row r="16">
      <c r="A16" s="35" t="inlineStr">
        <is>
          <t>1995-12</t>
        </is>
      </c>
      <c r="B16" s="35" t="n">
        <v>1995</v>
      </c>
      <c r="C16" s="35" t="n">
        <v>12</v>
      </c>
      <c r="D16" s="36" t="n">
        <v>913.253</v>
      </c>
      <c r="E16" s="36" t="n">
        <v>268.337</v>
      </c>
      <c r="F16" s="36" t="n">
        <v>2456.133</v>
      </c>
      <c r="G16" s="36" t="n">
        <v/>
      </c>
      <c r="H16" s="36" t="n">
        <v/>
      </c>
      <c r="I16" s="36" t="n">
        <v>941.3390000000001</v>
      </c>
      <c r="J16" s="36" t="n">
        <v>-877.268</v>
      </c>
      <c r="K16" s="36" t="n">
        <v>616.651</v>
      </c>
      <c r="L16" s="36" t="n">
        <v>1418</v>
      </c>
      <c r="M16" s="36" t="n">
        <v/>
      </c>
      <c r="N16" s="36" t="n">
        <v/>
      </c>
      <c r="O16" s="36" t="n">
        <v/>
      </c>
      <c r="P16" s="36" t="n">
        <v/>
      </c>
      <c r="Q16" s="36" t="n">
        <v>385.638</v>
      </c>
      <c r="R16" s="36" t="n">
        <v>21681.591</v>
      </c>
      <c r="S16" s="36" t="n">
        <v>13770.097</v>
      </c>
      <c r="T16" s="36" t="n">
        <v>7911.494</v>
      </c>
      <c r="U16" s="36" t="n">
        <v>6122.574</v>
      </c>
      <c r="V16" s="36" t="n">
        <v>6122.083</v>
      </c>
      <c r="W16" s="36" t="n">
        <v>-0.491</v>
      </c>
    </row>
    <row r="17">
      <c r="A17" s="37" t="inlineStr">
        <is>
          <t>1996-01</t>
        </is>
      </c>
      <c r="B17" s="37" t="n">
        <v>1996</v>
      </c>
      <c r="C17" s="37" t="n">
        <v>1</v>
      </c>
      <c r="D17" s="38" t="n">
        <v>2402.519</v>
      </c>
      <c r="E17" s="38" t="n">
        <v>2237.643</v>
      </c>
      <c r="F17" s="38" t="n">
        <v>-3949.421</v>
      </c>
      <c r="G17" s="38" t="n">
        <v/>
      </c>
      <c r="H17" s="38" t="n">
        <v/>
      </c>
      <c r="I17" s="38" t="n">
        <v>1002.605</v>
      </c>
      <c r="J17" s="38" t="n">
        <v>-927.931</v>
      </c>
      <c r="K17" s="38" t="n">
        <v>-407.991</v>
      </c>
      <c r="L17" s="38" t="n">
        <v>240.3</v>
      </c>
      <c r="M17" s="38" t="n">
        <v/>
      </c>
      <c r="N17" s="38" t="n">
        <v/>
      </c>
      <c r="O17" s="38" t="n">
        <v/>
      </c>
      <c r="P17" s="38" t="n">
        <v/>
      </c>
      <c r="Q17" s="38" t="n">
        <v>154.879</v>
      </c>
      <c r="R17" s="38" t="n">
        <v>22433.703</v>
      </c>
      <c r="S17" s="38" t="n">
        <v>11028.551</v>
      </c>
      <c r="T17" s="38" t="n">
        <v>11405.152</v>
      </c>
      <c r="U17" s="38" t="n">
        <v>752.112</v>
      </c>
      <c r="V17" s="38" t="n">
        <v>752.603</v>
      </c>
      <c r="W17" s="38" t="n">
        <v>0.491</v>
      </c>
    </row>
    <row r="18">
      <c r="A18" s="35" t="inlineStr">
        <is>
          <t>1996-02</t>
        </is>
      </c>
      <c r="B18" s="35" t="n">
        <v>1996</v>
      </c>
      <c r="C18" s="35" t="n">
        <v>2</v>
      </c>
      <c r="D18" s="36" t="n">
        <v>687.486</v>
      </c>
      <c r="E18" s="36" t="n">
        <v>2211.828</v>
      </c>
      <c r="F18" s="36" t="n">
        <v>-8133.227</v>
      </c>
      <c r="G18" s="36" t="n">
        <v/>
      </c>
      <c r="H18" s="36" t="n">
        <v/>
      </c>
      <c r="I18" s="36" t="n">
        <v>158.241</v>
      </c>
      <c r="J18" s="36" t="n">
        <v>-305.012</v>
      </c>
      <c r="K18" s="36" t="n">
        <v>21.551</v>
      </c>
      <c r="L18" s="36" t="n">
        <v>49.85</v>
      </c>
      <c r="M18" s="36" t="n">
        <v/>
      </c>
      <c r="N18" s="36" t="n">
        <v/>
      </c>
      <c r="O18" s="36" t="n">
        <v/>
      </c>
      <c r="P18" s="36" t="n">
        <v/>
      </c>
      <c r="Q18" s="36" t="n">
        <v>-117.269</v>
      </c>
      <c r="R18" s="36" t="n">
        <v>17007.151</v>
      </c>
      <c r="S18" s="36" t="n">
        <v>10974.643</v>
      </c>
      <c r="T18" s="36" t="n">
        <v>6032.508</v>
      </c>
      <c r="U18" s="36" t="n">
        <v>-5426.552</v>
      </c>
      <c r="V18" s="36" t="n">
        <v>-5426.552</v>
      </c>
      <c r="W18" s="36" t="n">
        <v>0</v>
      </c>
    </row>
    <row r="19">
      <c r="A19" s="37" t="inlineStr">
        <is>
          <t>1996-03</t>
        </is>
      </c>
      <c r="B19" s="37" t="n">
        <v>1996</v>
      </c>
      <c r="C19" s="37" t="n">
        <v>3</v>
      </c>
      <c r="D19" s="38" t="n">
        <v>231.017</v>
      </c>
      <c r="E19" s="38" t="n">
        <v>-24.504</v>
      </c>
      <c r="F19" s="38" t="n">
        <v>-1952.829</v>
      </c>
      <c r="G19" s="38" t="n">
        <v/>
      </c>
      <c r="H19" s="38" t="n">
        <v/>
      </c>
      <c r="I19" s="38" t="n">
        <v>33.787</v>
      </c>
      <c r="J19" s="38" t="n">
        <v>-252.507</v>
      </c>
      <c r="K19" s="38" t="n">
        <v>953.2380000000001</v>
      </c>
      <c r="L19" s="38" t="n">
        <v>111.027</v>
      </c>
      <c r="M19" s="38" t="n">
        <v/>
      </c>
      <c r="N19" s="38" t="n">
        <v/>
      </c>
      <c r="O19" s="38" t="n">
        <v/>
      </c>
      <c r="P19" s="38" t="n">
        <v/>
      </c>
      <c r="Q19" s="38" t="n">
        <v>79.157</v>
      </c>
      <c r="R19" s="38" t="n">
        <v>16185.537</v>
      </c>
      <c r="S19" s="38" t="n">
        <v>11080.575</v>
      </c>
      <c r="T19" s="38" t="n">
        <v>5104.962</v>
      </c>
      <c r="U19" s="38" t="n">
        <v>-821.614</v>
      </c>
      <c r="V19" s="38" t="n">
        <v>-821.614</v>
      </c>
      <c r="W19" s="38" t="n">
        <v>0</v>
      </c>
    </row>
    <row r="20">
      <c r="A20" s="35" t="inlineStr">
        <is>
          <t>1996-04</t>
        </is>
      </c>
      <c r="B20" s="35" t="n">
        <v>1996</v>
      </c>
      <c r="C20" s="35" t="n">
        <v>4</v>
      </c>
      <c r="D20" s="36" t="n">
        <v>-1714.923</v>
      </c>
      <c r="E20" s="36" t="n">
        <v>1131.111</v>
      </c>
      <c r="F20" s="36" t="n">
        <v>-1857.626</v>
      </c>
      <c r="G20" s="36" t="n">
        <v/>
      </c>
      <c r="H20" s="36" t="n">
        <v/>
      </c>
      <c r="I20" s="36" t="n">
        <v>397.049</v>
      </c>
      <c r="J20" s="36" t="n">
        <v>-121.374</v>
      </c>
      <c r="K20" s="36" t="n">
        <v>914.013</v>
      </c>
      <c r="L20" s="36" t="n">
        <v>-27.8</v>
      </c>
      <c r="M20" s="36" t="n">
        <v/>
      </c>
      <c r="N20" s="36" t="n">
        <v/>
      </c>
      <c r="O20" s="36" t="n">
        <v/>
      </c>
      <c r="P20" s="36" t="n">
        <v/>
      </c>
      <c r="Q20" s="36" t="n">
        <v>95.649</v>
      </c>
      <c r="R20" s="36" t="n">
        <v>15001.636</v>
      </c>
      <c r="S20" s="36" t="n">
        <v>11031.935</v>
      </c>
      <c r="T20" s="36" t="n">
        <v>3969.701</v>
      </c>
      <c r="U20" s="36" t="n">
        <v>-1183.901</v>
      </c>
      <c r="V20" s="36" t="n">
        <v>-1183.901</v>
      </c>
      <c r="W20" s="36" t="n">
        <v>0</v>
      </c>
    </row>
    <row r="21">
      <c r="A21" s="37" t="inlineStr">
        <is>
          <t>1996-05</t>
        </is>
      </c>
      <c r="B21" s="37" t="n">
        <v>1996</v>
      </c>
      <c r="C21" s="37" t="n">
        <v>5</v>
      </c>
      <c r="D21" s="38" t="n">
        <v>4923.265</v>
      </c>
      <c r="E21" s="38" t="n">
        <v>2085.1</v>
      </c>
      <c r="F21" s="38" t="n">
        <v>-10273.805</v>
      </c>
      <c r="G21" s="38" t="n">
        <v/>
      </c>
      <c r="H21" s="38" t="n">
        <v/>
      </c>
      <c r="I21" s="38" t="n">
        <v>890.039</v>
      </c>
      <c r="J21" s="38" t="n">
        <v>-262.197</v>
      </c>
      <c r="K21" s="38" t="n">
        <v>-2579.432</v>
      </c>
      <c r="L21" s="38" t="n">
        <v>6134.721</v>
      </c>
      <c r="M21" s="38" t="n">
        <v/>
      </c>
      <c r="N21" s="38" t="n">
        <v/>
      </c>
      <c r="O21" s="38" t="n">
        <v/>
      </c>
      <c r="P21" s="38" t="n">
        <v/>
      </c>
      <c r="Q21" s="38" t="n">
        <v>352.318</v>
      </c>
      <c r="R21" s="38" t="n">
        <v>16271.648</v>
      </c>
      <c r="S21" s="38" t="n">
        <v>11354.467</v>
      </c>
      <c r="T21" s="38" t="n">
        <v>4917.181</v>
      </c>
      <c r="U21" s="38" t="n">
        <v>1270.012</v>
      </c>
      <c r="V21" s="38" t="n">
        <v>1270.009</v>
      </c>
      <c r="W21" s="38" t="n">
        <v>-0.003</v>
      </c>
    </row>
    <row r="22">
      <c r="A22" s="35" t="inlineStr">
        <is>
          <t>1996-06</t>
        </is>
      </c>
      <c r="B22" s="35" t="n">
        <v>1996</v>
      </c>
      <c r="C22" s="35" t="n">
        <v>6</v>
      </c>
      <c r="D22" s="36" t="n">
        <v>278.735</v>
      </c>
      <c r="E22" s="36" t="n">
        <v>229.811</v>
      </c>
      <c r="F22" s="36" t="n">
        <v>-668.375</v>
      </c>
      <c r="G22" s="36" t="n">
        <v/>
      </c>
      <c r="H22" s="36" t="n">
        <v/>
      </c>
      <c r="I22" s="36" t="n">
        <v>386.155</v>
      </c>
      <c r="J22" s="36" t="n">
        <v>-56.689</v>
      </c>
      <c r="K22" s="36" t="n">
        <v>-460.964</v>
      </c>
      <c r="L22" s="36" t="n">
        <v>1002.055</v>
      </c>
      <c r="M22" s="36" t="n">
        <v/>
      </c>
      <c r="N22" s="36" t="n">
        <v/>
      </c>
      <c r="O22" s="36" t="n">
        <v/>
      </c>
      <c r="P22" s="36" t="n">
        <v/>
      </c>
      <c r="Q22" s="36" t="n">
        <v>-175.691</v>
      </c>
      <c r="R22" s="36" t="n">
        <v>16806.685</v>
      </c>
      <c r="S22" s="36" t="n">
        <v>12043.453</v>
      </c>
      <c r="T22" s="36" t="n">
        <v>4763.232</v>
      </c>
      <c r="U22" s="36" t="n">
        <v>535.037</v>
      </c>
      <c r="V22" s="36" t="n">
        <v>535.037</v>
      </c>
      <c r="W22" s="36" t="n">
        <v>0</v>
      </c>
    </row>
    <row r="23">
      <c r="A23" s="37" t="inlineStr">
        <is>
          <t>1996-07</t>
        </is>
      </c>
      <c r="B23" s="37" t="n">
        <v>1996</v>
      </c>
      <c r="C23" s="37" t="n">
        <v>7</v>
      </c>
      <c r="D23" s="38" t="n">
        <v>-888.593</v>
      </c>
      <c r="E23" s="38" t="n">
        <v>872.312</v>
      </c>
      <c r="F23" s="38" t="n">
        <v>-2984.814</v>
      </c>
      <c r="G23" s="38" t="n">
        <v/>
      </c>
      <c r="H23" s="38" t="n">
        <v/>
      </c>
      <c r="I23" s="38" t="n">
        <v>563.724</v>
      </c>
      <c r="J23" s="38" t="n">
        <v>-359.161</v>
      </c>
      <c r="K23" s="38" t="n">
        <v>4222.955</v>
      </c>
      <c r="L23" s="38" t="n">
        <v>414.35</v>
      </c>
      <c r="M23" s="38" t="n">
        <v/>
      </c>
      <c r="N23" s="38" t="n">
        <v/>
      </c>
      <c r="O23" s="38" t="n">
        <v/>
      </c>
      <c r="P23" s="38" t="n">
        <v/>
      </c>
      <c r="Q23" s="38" t="n">
        <v>100.687</v>
      </c>
      <c r="R23" s="38" t="n">
        <v>18748.145</v>
      </c>
      <c r="S23" s="38" t="n">
        <v>11654.025</v>
      </c>
      <c r="T23" s="38" t="n">
        <v>7094.12</v>
      </c>
      <c r="U23" s="38" t="n">
        <v>1941.46</v>
      </c>
      <c r="V23" s="38" t="n">
        <v>1941.46</v>
      </c>
      <c r="W23" s="38" t="n">
        <v>0</v>
      </c>
    </row>
    <row r="24">
      <c r="A24" s="35" t="inlineStr">
        <is>
          <t>1996-08</t>
        </is>
      </c>
      <c r="B24" s="35" t="n">
        <v>1996</v>
      </c>
      <c r="C24" s="35" t="n">
        <v>8</v>
      </c>
      <c r="D24" s="36" t="n">
        <v>-587.763</v>
      </c>
      <c r="E24" s="36" t="n">
        <v>51.335</v>
      </c>
      <c r="F24" s="36" t="n">
        <v>577.506</v>
      </c>
      <c r="G24" s="36" t="n">
        <v/>
      </c>
      <c r="H24" s="36" t="n">
        <v/>
      </c>
      <c r="I24" s="36" t="n">
        <v>386.562</v>
      </c>
      <c r="J24" s="36" t="n">
        <v>-672.492</v>
      </c>
      <c r="K24" s="36" t="n">
        <v>-3241.901</v>
      </c>
      <c r="L24" s="36" t="n">
        <v>374.62</v>
      </c>
      <c r="M24" s="36" t="n">
        <v/>
      </c>
      <c r="N24" s="36" t="n">
        <v/>
      </c>
      <c r="O24" s="36" t="n">
        <v/>
      </c>
      <c r="P24" s="36" t="n">
        <v/>
      </c>
      <c r="Q24" s="36" t="n">
        <v>50.492</v>
      </c>
      <c r="R24" s="36" t="n">
        <v>15686.504</v>
      </c>
      <c r="S24" s="36" t="n">
        <v>12293.126</v>
      </c>
      <c r="T24" s="36" t="n">
        <v>3393.378</v>
      </c>
      <c r="U24" s="36" t="n">
        <v>-3061.641</v>
      </c>
      <c r="V24" s="36" t="n">
        <v>-3061.641</v>
      </c>
      <c r="W24" s="36" t="n">
        <v>0</v>
      </c>
    </row>
    <row r="25">
      <c r="A25" s="37" t="inlineStr">
        <is>
          <t>1996-09</t>
        </is>
      </c>
      <c r="B25" s="37" t="n">
        <v>1996</v>
      </c>
      <c r="C25" s="37" t="n">
        <v>9</v>
      </c>
      <c r="D25" s="38" t="n">
        <v>283.013</v>
      </c>
      <c r="E25" s="38" t="n">
        <v>-1130.183</v>
      </c>
      <c r="F25" s="38" t="n">
        <v>4246.181</v>
      </c>
      <c r="G25" s="38" t="n">
        <v/>
      </c>
      <c r="H25" s="38" t="n">
        <v/>
      </c>
      <c r="I25" s="38" t="n">
        <v>62.567</v>
      </c>
      <c r="J25" s="38" t="n">
        <v>-406.482</v>
      </c>
      <c r="K25" s="38" t="n">
        <v>1491.33</v>
      </c>
      <c r="L25" s="38" t="n">
        <v>350</v>
      </c>
      <c r="M25" s="38" t="n">
        <v/>
      </c>
      <c r="N25" s="38" t="n">
        <v/>
      </c>
      <c r="O25" s="38" t="n">
        <v/>
      </c>
      <c r="P25" s="38" t="n">
        <v/>
      </c>
      <c r="Q25" s="38" t="n">
        <v>55.373</v>
      </c>
      <c r="R25" s="38" t="n">
        <v>20638.304</v>
      </c>
      <c r="S25" s="38" t="n">
        <v>12829.785</v>
      </c>
      <c r="T25" s="38" t="n">
        <v>7808.519</v>
      </c>
      <c r="U25" s="38" t="n">
        <v>4951.8</v>
      </c>
      <c r="V25" s="38" t="n">
        <v>4951.799</v>
      </c>
      <c r="W25" s="38" t="n">
        <v>-0.001</v>
      </c>
    </row>
    <row r="26">
      <c r="A26" s="35" t="inlineStr">
        <is>
          <t>1996-10</t>
        </is>
      </c>
      <c r="B26" s="35" t="n">
        <v>1996</v>
      </c>
      <c r="C26" s="35" t="n">
        <v>10</v>
      </c>
      <c r="D26" s="36" t="n">
        <v>-583.228</v>
      </c>
      <c r="E26" s="36" t="n">
        <v>1066.492</v>
      </c>
      <c r="F26" s="36" t="n">
        <v>-3704.558</v>
      </c>
      <c r="G26" s="36" t="n">
        <v/>
      </c>
      <c r="H26" s="36" t="n">
        <v/>
      </c>
      <c r="I26" s="36" t="n">
        <v>-2386.789</v>
      </c>
      <c r="J26" s="36" t="n">
        <v>-588.732</v>
      </c>
      <c r="K26" s="36" t="n">
        <v>1126.337</v>
      </c>
      <c r="L26" s="36" t="n">
        <v>-9.207000000000001</v>
      </c>
      <c r="M26" s="36" t="n">
        <v/>
      </c>
      <c r="N26" s="36" t="n">
        <v/>
      </c>
      <c r="O26" s="36" t="n">
        <v/>
      </c>
      <c r="P26" s="36" t="n">
        <v/>
      </c>
      <c r="Q26" s="36" t="n">
        <v>6.213</v>
      </c>
      <c r="R26" s="36" t="n">
        <v>15564.832</v>
      </c>
      <c r="S26" s="36" t="n">
        <v>12696.551</v>
      </c>
      <c r="T26" s="36" t="n">
        <v>2868.281</v>
      </c>
      <c r="U26" s="36" t="n">
        <v>-5073.472</v>
      </c>
      <c r="V26" s="36" t="n">
        <v>-5073.472</v>
      </c>
      <c r="W26" s="36" t="n">
        <v>0</v>
      </c>
    </row>
    <row r="27">
      <c r="A27" s="37" t="inlineStr">
        <is>
          <t>1996-11</t>
        </is>
      </c>
      <c r="B27" s="37" t="n">
        <v>1996</v>
      </c>
      <c r="C27" s="37" t="n">
        <v>11</v>
      </c>
      <c r="D27" s="38" t="n">
        <v>38.237</v>
      </c>
      <c r="E27" s="38" t="n">
        <v>1023.169</v>
      </c>
      <c r="F27" s="38" t="n">
        <v>-3278.836</v>
      </c>
      <c r="G27" s="38" t="n">
        <v/>
      </c>
      <c r="H27" s="38" t="n">
        <v/>
      </c>
      <c r="I27" s="38" t="n">
        <v>-2241.079</v>
      </c>
      <c r="J27" s="38" t="n">
        <v>-1370.294</v>
      </c>
      <c r="K27" s="38" t="n">
        <v>0.569</v>
      </c>
      <c r="L27" s="38" t="n">
        <v>-2.922</v>
      </c>
      <c r="M27" s="38" t="n">
        <v/>
      </c>
      <c r="N27" s="38" t="n">
        <v/>
      </c>
      <c r="O27" s="38" t="n">
        <v/>
      </c>
      <c r="P27" s="38" t="n">
        <v/>
      </c>
      <c r="Q27" s="38" t="n">
        <v>5934.788</v>
      </c>
      <c r="R27" s="38" t="n">
        <v>15668.464</v>
      </c>
      <c r="S27" s="38" t="n">
        <v>14031.928</v>
      </c>
      <c r="T27" s="38" t="n">
        <v>1636.536</v>
      </c>
      <c r="U27" s="38" t="n">
        <v>103.632</v>
      </c>
      <c r="V27" s="38" t="n">
        <v>103.632</v>
      </c>
      <c r="W27" s="38" t="n">
        <v>0</v>
      </c>
    </row>
    <row r="28">
      <c r="A28" s="35" t="inlineStr">
        <is>
          <t>1996-12</t>
        </is>
      </c>
      <c r="B28" s="35" t="n">
        <v>1996</v>
      </c>
      <c r="C28" s="35" t="n">
        <v>12</v>
      </c>
      <c r="D28" s="36" t="n">
        <v>443.623</v>
      </c>
      <c r="E28" s="36" t="n">
        <v>234.088</v>
      </c>
      <c r="F28" s="36" t="n">
        <v>2309.305</v>
      </c>
      <c r="G28" s="36" t="n">
        <v/>
      </c>
      <c r="H28" s="36" t="n">
        <v/>
      </c>
      <c r="I28" s="36" t="n">
        <v>-1399.092</v>
      </c>
      <c r="J28" s="36" t="n">
        <v>-1156.858</v>
      </c>
      <c r="K28" s="36" t="n">
        <v>109.636</v>
      </c>
      <c r="L28" s="36" t="n">
        <v>95.479</v>
      </c>
      <c r="M28" s="36" t="n">
        <v/>
      </c>
      <c r="N28" s="36" t="n">
        <v/>
      </c>
      <c r="O28" s="36" t="n">
        <v/>
      </c>
      <c r="P28" s="36" t="n">
        <v/>
      </c>
      <c r="Q28" s="36" t="n">
        <v>3491.052</v>
      </c>
      <c r="R28" s="36" t="n">
        <v>19795.697</v>
      </c>
      <c r="S28" s="36" t="n">
        <v>17187.949</v>
      </c>
      <c r="T28" s="36" t="n">
        <v>2607.748</v>
      </c>
      <c r="U28" s="36" t="n">
        <v>4127.233</v>
      </c>
      <c r="V28" s="36" t="n">
        <v>4127.233</v>
      </c>
      <c r="W28" s="36" t="n">
        <v>0</v>
      </c>
    </row>
    <row r="29">
      <c r="A29" s="37" t="inlineStr">
        <is>
          <t>1997-01</t>
        </is>
      </c>
      <c r="B29" s="37" t="n">
        <v>1997</v>
      </c>
      <c r="C29" s="37" t="n">
        <v>1</v>
      </c>
      <c r="D29" s="38" t="n">
        <v>2175.102</v>
      </c>
      <c r="E29" s="38" t="n">
        <v>-1304.747</v>
      </c>
      <c r="F29" s="38" t="n">
        <v>-566.011</v>
      </c>
      <c r="G29" s="38" t="n">
        <v/>
      </c>
      <c r="H29" s="38" t="n">
        <v/>
      </c>
      <c r="I29" s="38" t="n">
        <v>-816.302</v>
      </c>
      <c r="J29" s="38" t="n">
        <v>2025.843</v>
      </c>
      <c r="K29" s="38" t="n">
        <v>2587.245</v>
      </c>
      <c r="L29" s="38" t="n">
        <v>-100</v>
      </c>
      <c r="M29" s="38" t="n">
        <v/>
      </c>
      <c r="N29" s="38" t="n">
        <v/>
      </c>
      <c r="O29" s="38" t="n">
        <v/>
      </c>
      <c r="P29" s="38" t="n">
        <v/>
      </c>
      <c r="Q29" s="38" t="n">
        <v>63.114</v>
      </c>
      <c r="R29" s="38" t="n">
        <v>23859.941</v>
      </c>
      <c r="S29" s="38" t="n">
        <v>15735.109</v>
      </c>
      <c r="T29" s="38" t="n">
        <v>8124.832</v>
      </c>
      <c r="U29" s="38" t="n">
        <v>4064.244</v>
      </c>
      <c r="V29" s="38" t="n">
        <v>4064.244</v>
      </c>
      <c r="W29" s="38" t="n">
        <v>0</v>
      </c>
    </row>
    <row r="30">
      <c r="A30" s="35" t="inlineStr">
        <is>
          <t>1997-02</t>
        </is>
      </c>
      <c r="B30" s="35" t="n">
        <v>1997</v>
      </c>
      <c r="C30" s="35" t="n">
        <v>2</v>
      </c>
      <c r="D30" s="36" t="n">
        <v>-560.062</v>
      </c>
      <c r="E30" s="36" t="n">
        <v>-75.05500000000001</v>
      </c>
      <c r="F30" s="36" t="n">
        <v>1165.964</v>
      </c>
      <c r="G30" s="36" t="n">
        <v/>
      </c>
      <c r="H30" s="36" t="n">
        <v/>
      </c>
      <c r="I30" s="36" t="n">
        <v>-1224.088</v>
      </c>
      <c r="J30" s="36" t="n">
        <v>3678.968</v>
      </c>
      <c r="K30" s="36" t="n">
        <v>-6863.436</v>
      </c>
      <c r="L30" s="36" t="n">
        <v>125</v>
      </c>
      <c r="M30" s="36" t="n">
        <v/>
      </c>
      <c r="N30" s="36" t="n">
        <v/>
      </c>
      <c r="O30" s="36" t="n">
        <v/>
      </c>
      <c r="P30" s="36" t="n">
        <v/>
      </c>
      <c r="Q30" s="36" t="n">
        <v>178.145</v>
      </c>
      <c r="R30" s="36" t="n">
        <v>20285.377</v>
      </c>
      <c r="S30" s="36" t="n">
        <v>15485.566</v>
      </c>
      <c r="T30" s="36" t="n">
        <v>4799.811</v>
      </c>
      <c r="U30" s="36" t="n">
        <v>-3574.564</v>
      </c>
      <c r="V30" s="36" t="n">
        <v>-3574.564</v>
      </c>
      <c r="W30" s="36" t="n">
        <v>0</v>
      </c>
    </row>
    <row r="31">
      <c r="A31" s="37" t="inlineStr">
        <is>
          <t>1997-03</t>
        </is>
      </c>
      <c r="B31" s="37" t="n">
        <v>1997</v>
      </c>
      <c r="C31" s="37" t="n">
        <v>3</v>
      </c>
      <c r="D31" s="38" t="n">
        <v>-325.59</v>
      </c>
      <c r="E31" s="38" t="n">
        <v>-611.41</v>
      </c>
      <c r="F31" s="38" t="n">
        <v>-1564.677</v>
      </c>
      <c r="G31" s="38" t="n">
        <v/>
      </c>
      <c r="H31" s="38" t="n">
        <v/>
      </c>
      <c r="I31" s="38" t="n">
        <v>-1315.103</v>
      </c>
      <c r="J31" s="38" t="n">
        <v>1060.771</v>
      </c>
      <c r="K31" s="38" t="n">
        <v>-1588.691</v>
      </c>
      <c r="L31" s="38" t="n">
        <v>4330.898</v>
      </c>
      <c r="M31" s="38" t="n">
        <v/>
      </c>
      <c r="N31" s="38" t="n">
        <v/>
      </c>
      <c r="O31" s="38" t="n">
        <v/>
      </c>
      <c r="P31" s="38" t="n">
        <v/>
      </c>
      <c r="Q31" s="38" t="n">
        <v>2052.765</v>
      </c>
      <c r="R31" s="38" t="n">
        <v>22324.34</v>
      </c>
      <c r="S31" s="38" t="n">
        <v>15304.628</v>
      </c>
      <c r="T31" s="38" t="n">
        <v>7019.712</v>
      </c>
      <c r="U31" s="38" t="n">
        <v>2038.963</v>
      </c>
      <c r="V31" s="38" t="n">
        <v>2038.963</v>
      </c>
      <c r="W31" s="38" t="n">
        <v>0</v>
      </c>
    </row>
    <row r="32">
      <c r="A32" s="35" t="inlineStr">
        <is>
          <t>1997-04</t>
        </is>
      </c>
      <c r="B32" s="35" t="n">
        <v>1997</v>
      </c>
      <c r="C32" s="35" t="n">
        <v>4</v>
      </c>
      <c r="D32" s="36" t="n">
        <v>-2043.467</v>
      </c>
      <c r="E32" s="36" t="n">
        <v>-1484.393</v>
      </c>
      <c r="F32" s="36" t="n">
        <v>1236.728</v>
      </c>
      <c r="G32" s="36" t="n">
        <v/>
      </c>
      <c r="H32" s="36" t="n">
        <v/>
      </c>
      <c r="I32" s="36" t="n">
        <v>-656.461</v>
      </c>
      <c r="J32" s="36" t="n">
        <v>685.4640000000001</v>
      </c>
      <c r="K32" s="36" t="n">
        <v>6927.87</v>
      </c>
      <c r="L32" s="36" t="n">
        <v>279.166</v>
      </c>
      <c r="M32" s="36" t="n">
        <v/>
      </c>
      <c r="N32" s="36" t="n">
        <v/>
      </c>
      <c r="O32" s="36" t="n">
        <v/>
      </c>
      <c r="P32" s="36" t="n">
        <v/>
      </c>
      <c r="Q32" s="36" t="n">
        <v>7.61</v>
      </c>
      <c r="R32" s="36" t="n">
        <v>27291.306</v>
      </c>
      <c r="S32" s="36" t="n">
        <v>15041.552</v>
      </c>
      <c r="T32" s="36" t="n">
        <v>12249.754</v>
      </c>
      <c r="U32" s="36" t="n">
        <v>4966.966</v>
      </c>
      <c r="V32" s="36" t="n">
        <v>4952.517</v>
      </c>
      <c r="W32" s="36" t="n">
        <v>-14.449</v>
      </c>
    </row>
    <row r="33">
      <c r="A33" s="37" t="inlineStr">
        <is>
          <t>1997-05</t>
        </is>
      </c>
      <c r="B33" s="37" t="n">
        <v>1997</v>
      </c>
      <c r="C33" s="37" t="n">
        <v>5</v>
      </c>
      <c r="D33" s="38" t="n">
        <v>-2871.363</v>
      </c>
      <c r="E33" s="38" t="n">
        <v>2566.023</v>
      </c>
      <c r="F33" s="38" t="n">
        <v>-684.419</v>
      </c>
      <c r="G33" s="38" t="n">
        <v/>
      </c>
      <c r="H33" s="38" t="n">
        <v/>
      </c>
      <c r="I33" s="38" t="n">
        <v>-1772.609</v>
      </c>
      <c r="J33" s="38" t="n">
        <v>349.496</v>
      </c>
      <c r="K33" s="38" t="n">
        <v>-5018.375</v>
      </c>
      <c r="L33" s="38" t="n">
        <v>788.423</v>
      </c>
      <c r="M33" s="38" t="n">
        <v>748.7809999999999</v>
      </c>
      <c r="N33" s="38" t="n">
        <v/>
      </c>
      <c r="O33" s="38" t="n">
        <v/>
      </c>
      <c r="P33" s="38" t="n">
        <v/>
      </c>
      <c r="Q33" s="38" t="n">
        <v>342.84</v>
      </c>
      <c r="R33" s="38" t="n">
        <v>21740.103</v>
      </c>
      <c r="S33" s="38" t="n">
        <v>15334.469</v>
      </c>
      <c r="T33" s="38" t="n">
        <v>6405.634</v>
      </c>
      <c r="U33" s="38" t="n">
        <v>-5551.203</v>
      </c>
      <c r="V33" s="38" t="n">
        <v>-5551.203</v>
      </c>
      <c r="W33" s="38" t="n">
        <v>0</v>
      </c>
    </row>
    <row r="34">
      <c r="A34" s="35" t="inlineStr">
        <is>
          <t>1997-06</t>
        </is>
      </c>
      <c r="B34" s="35" t="n">
        <v>1997</v>
      </c>
      <c r="C34" s="35" t="n">
        <v>6</v>
      </c>
      <c r="D34" s="36" t="n">
        <v>166.621</v>
      </c>
      <c r="E34" s="36" t="n">
        <v>-1388.618</v>
      </c>
      <c r="F34" s="36" t="n">
        <v>1214.631</v>
      </c>
      <c r="G34" s="36" t="n">
        <v/>
      </c>
      <c r="H34" s="36" t="n">
        <v/>
      </c>
      <c r="I34" s="36" t="n">
        <v>-707.398</v>
      </c>
      <c r="J34" s="36" t="n">
        <v>252.852</v>
      </c>
      <c r="K34" s="36" t="n">
        <v>3157.689</v>
      </c>
      <c r="L34" s="36" t="n">
        <v>33.017</v>
      </c>
      <c r="M34" s="36" t="n">
        <v>0</v>
      </c>
      <c r="N34" s="36" t="n">
        <v/>
      </c>
      <c r="O34" s="36" t="n">
        <v/>
      </c>
      <c r="P34" s="36" t="n">
        <v/>
      </c>
      <c r="Q34" s="36" t="n">
        <v>219.248</v>
      </c>
      <c r="R34" s="36" t="n">
        <v>24688.145</v>
      </c>
      <c r="S34" s="36" t="n">
        <v>15130.165</v>
      </c>
      <c r="T34" s="36" t="n">
        <v>9557.98</v>
      </c>
      <c r="U34" s="36" t="n">
        <v>2948.042</v>
      </c>
      <c r="V34" s="36" t="n">
        <v>2948.042</v>
      </c>
      <c r="W34" s="36" t="n">
        <v>0</v>
      </c>
    </row>
    <row r="35">
      <c r="A35" s="37" t="inlineStr">
        <is>
          <t>1997-07</t>
        </is>
      </c>
      <c r="B35" s="37" t="n">
        <v>1997</v>
      </c>
      <c r="C35" s="37" t="n">
        <v>7</v>
      </c>
      <c r="D35" s="38" t="n">
        <v>-379.749</v>
      </c>
      <c r="E35" s="38" t="n">
        <v>2397.134</v>
      </c>
      <c r="F35" s="38" t="n">
        <v>-163.48</v>
      </c>
      <c r="G35" s="38" t="n">
        <v/>
      </c>
      <c r="H35" s="38" t="n">
        <v/>
      </c>
      <c r="I35" s="38" t="n">
        <v>-940.616</v>
      </c>
      <c r="J35" s="38" t="n">
        <v>205.071</v>
      </c>
      <c r="K35" s="38" t="n">
        <v>-2032.729</v>
      </c>
      <c r="L35" s="38" t="n">
        <v>24.718</v>
      </c>
      <c r="M35" s="38" t="n">
        <v>0</v>
      </c>
      <c r="N35" s="38" t="n">
        <v/>
      </c>
      <c r="O35" s="38" t="n">
        <v/>
      </c>
      <c r="P35" s="38" t="n">
        <v/>
      </c>
      <c r="Q35" s="38" t="n">
        <v>417.275</v>
      </c>
      <c r="R35" s="38" t="n">
        <v>24215.769</v>
      </c>
      <c r="S35" s="38" t="n">
        <v>15139.016</v>
      </c>
      <c r="T35" s="38" t="n">
        <v>9076.753000000001</v>
      </c>
      <c r="U35" s="38" t="n">
        <v>-472.376</v>
      </c>
      <c r="V35" s="38" t="n">
        <v>-472.376</v>
      </c>
      <c r="W35" s="38" t="n">
        <v>0</v>
      </c>
    </row>
    <row r="36">
      <c r="A36" s="35" t="inlineStr">
        <is>
          <t>1997-08</t>
        </is>
      </c>
      <c r="B36" s="35" t="n">
        <v>1997</v>
      </c>
      <c r="C36" s="35" t="n">
        <v>8</v>
      </c>
      <c r="D36" s="36" t="n">
        <v>-1727.357</v>
      </c>
      <c r="E36" s="36" t="n">
        <v>2872.283</v>
      </c>
      <c r="F36" s="36" t="n">
        <v>-2380.315</v>
      </c>
      <c r="G36" s="36" t="n">
        <v/>
      </c>
      <c r="H36" s="36" t="n">
        <v/>
      </c>
      <c r="I36" s="36" t="n">
        <v>-78.26300000000001</v>
      </c>
      <c r="J36" s="36" t="n">
        <v>198.855</v>
      </c>
      <c r="K36" s="36" t="n">
        <v>-1377.202</v>
      </c>
      <c r="L36" s="36" t="n">
        <v>18.322</v>
      </c>
      <c r="M36" s="36" t="n">
        <v>59.423</v>
      </c>
      <c r="N36" s="36" t="n">
        <v/>
      </c>
      <c r="O36" s="36" t="n">
        <v/>
      </c>
      <c r="P36" s="36" t="n">
        <v/>
      </c>
      <c r="Q36" s="36" t="n">
        <v>66.18600000000001</v>
      </c>
      <c r="R36" s="36" t="n">
        <v>21867.701</v>
      </c>
      <c r="S36" s="36" t="n">
        <v>15446.925</v>
      </c>
      <c r="T36" s="36" t="n">
        <v>6420.776</v>
      </c>
      <c r="U36" s="36" t="n">
        <v>-2348.068</v>
      </c>
      <c r="V36" s="36" t="n">
        <v>-2348.068</v>
      </c>
      <c r="W36" s="36" t="n">
        <v>0</v>
      </c>
    </row>
    <row r="37">
      <c r="A37" s="37" t="inlineStr">
        <is>
          <t>1997-09</t>
        </is>
      </c>
      <c r="B37" s="37" t="n">
        <v>1997</v>
      </c>
      <c r="C37" s="37" t="n">
        <v>9</v>
      </c>
      <c r="D37" s="38" t="n">
        <v>2241.023</v>
      </c>
      <c r="E37" s="38" t="n">
        <v>-1669.256</v>
      </c>
      <c r="F37" s="38" t="n">
        <v>3349.629</v>
      </c>
      <c r="G37" s="38" t="n">
        <v/>
      </c>
      <c r="H37" s="38" t="n">
        <v/>
      </c>
      <c r="I37" s="38" t="n">
        <v>29.229</v>
      </c>
      <c r="J37" s="38" t="n">
        <v>17.142</v>
      </c>
      <c r="K37" s="38" t="n">
        <v>14.187</v>
      </c>
      <c r="L37" s="38" t="n">
        <v>-12.631</v>
      </c>
      <c r="M37" s="38" t="n">
        <v>0</v>
      </c>
      <c r="N37" s="38" t="n">
        <v/>
      </c>
      <c r="O37" s="38" t="n">
        <v/>
      </c>
      <c r="P37" s="38" t="n">
        <v/>
      </c>
      <c r="Q37" s="38" t="n">
        <v>-1136.933</v>
      </c>
      <c r="R37" s="38" t="n">
        <v>24700.091</v>
      </c>
      <c r="S37" s="38" t="n">
        <v>15132.614</v>
      </c>
      <c r="T37" s="38" t="n">
        <v>9567.477000000001</v>
      </c>
      <c r="U37" s="38" t="n">
        <v>2832.39</v>
      </c>
      <c r="V37" s="38" t="n">
        <v>2832.39</v>
      </c>
      <c r="W37" s="38" t="n">
        <v>0</v>
      </c>
    </row>
    <row r="38">
      <c r="A38" s="35" t="inlineStr">
        <is>
          <t>1997-10</t>
        </is>
      </c>
      <c r="B38" s="35" t="n">
        <v>1997</v>
      </c>
      <c r="C38" s="35" t="n">
        <v>10</v>
      </c>
      <c r="D38" s="36" t="n">
        <v>342.251</v>
      </c>
      <c r="E38" s="36" t="n">
        <v>-7922.678</v>
      </c>
      <c r="F38" s="36" t="n">
        <v>3779.333</v>
      </c>
      <c r="G38" s="36" t="n">
        <v/>
      </c>
      <c r="H38" s="36" t="n">
        <v/>
      </c>
      <c r="I38" s="36" t="n">
        <v>-967.841</v>
      </c>
      <c r="J38" s="36" t="n">
        <v>-401.677</v>
      </c>
      <c r="K38" s="36" t="n">
        <v>6565.791</v>
      </c>
      <c r="L38" s="36" t="n">
        <v>0</v>
      </c>
      <c r="M38" s="36" t="n">
        <v>0</v>
      </c>
      <c r="N38" s="36" t="n">
        <v/>
      </c>
      <c r="O38" s="36" t="n">
        <v/>
      </c>
      <c r="P38" s="36" t="n">
        <v/>
      </c>
      <c r="Q38" s="36" t="n">
        <v>52.139</v>
      </c>
      <c r="R38" s="36" t="n">
        <v>26147.409</v>
      </c>
      <c r="S38" s="36" t="n">
        <v>15708.776</v>
      </c>
      <c r="T38" s="36" t="n">
        <v>10438.633</v>
      </c>
      <c r="U38" s="36" t="n">
        <v>1447.318</v>
      </c>
      <c r="V38" s="36" t="n">
        <v>1447.318</v>
      </c>
      <c r="W38" s="36" t="n">
        <v>0</v>
      </c>
    </row>
    <row r="39">
      <c r="A39" s="37" t="inlineStr">
        <is>
          <t>1997-11</t>
        </is>
      </c>
      <c r="B39" s="37" t="n">
        <v>1997</v>
      </c>
      <c r="C39" s="37" t="n">
        <v>11</v>
      </c>
      <c r="D39" s="38" t="n">
        <v>-478.04</v>
      </c>
      <c r="E39" s="38" t="n">
        <v>-1775.55</v>
      </c>
      <c r="F39" s="38" t="n">
        <v>7039.741</v>
      </c>
      <c r="G39" s="38" t="n">
        <v/>
      </c>
      <c r="H39" s="38" t="n">
        <v/>
      </c>
      <c r="I39" s="38" t="n">
        <v>231.412</v>
      </c>
      <c r="J39" s="38" t="n">
        <v>-375.446</v>
      </c>
      <c r="K39" s="38" t="n">
        <v>-7646.4</v>
      </c>
      <c r="L39" s="38" t="n">
        <v>0</v>
      </c>
      <c r="M39" s="38" t="n">
        <v>0</v>
      </c>
      <c r="N39" s="38" t="n">
        <v/>
      </c>
      <c r="O39" s="38" t="n">
        <v/>
      </c>
      <c r="P39" s="38" t="n">
        <v/>
      </c>
      <c r="Q39" s="38" t="n">
        <v>-171.074</v>
      </c>
      <c r="R39" s="38" t="n">
        <v>22972.423</v>
      </c>
      <c r="S39" s="38" t="n">
        <v>16669.299</v>
      </c>
      <c r="T39" s="38" t="n">
        <v>6303.124</v>
      </c>
      <c r="U39" s="38" t="n">
        <v>-3174.986</v>
      </c>
      <c r="V39" s="38" t="n">
        <v>-3175.357</v>
      </c>
      <c r="W39" s="38" t="n">
        <v>-0.371</v>
      </c>
    </row>
    <row r="40">
      <c r="A40" s="35" t="inlineStr">
        <is>
          <t>1997-12</t>
        </is>
      </c>
      <c r="B40" s="35" t="n">
        <v>1997</v>
      </c>
      <c r="C40" s="35" t="n">
        <v>12</v>
      </c>
      <c r="D40" s="36" t="n">
        <v>-1614.296</v>
      </c>
      <c r="E40" s="36" t="n">
        <v>-653.4160000000001</v>
      </c>
      <c r="F40" s="36" t="n">
        <v>9731.575999999999</v>
      </c>
      <c r="G40" s="36" t="n">
        <v/>
      </c>
      <c r="H40" s="36" t="n">
        <v/>
      </c>
      <c r="I40" s="36" t="n">
        <v>-572.405</v>
      </c>
      <c r="J40" s="36" t="n">
        <v>208.816</v>
      </c>
      <c r="K40" s="36" t="n">
        <v>2022.574</v>
      </c>
      <c r="L40" s="36" t="n">
        <v>-20.22</v>
      </c>
      <c r="M40" s="36" t="n">
        <v>145.672</v>
      </c>
      <c r="N40" s="36" t="n">
        <v/>
      </c>
      <c r="O40" s="36" t="n">
        <v/>
      </c>
      <c r="P40" s="36" t="n">
        <v/>
      </c>
      <c r="Q40" s="36" t="n">
        <v>-392.392</v>
      </c>
      <c r="R40" s="36" t="n">
        <v>31828.332</v>
      </c>
      <c r="S40" s="36" t="n">
        <v>20250.732</v>
      </c>
      <c r="T40" s="36" t="n">
        <v>11577.6</v>
      </c>
      <c r="U40" s="36" t="n">
        <v>8855.909</v>
      </c>
      <c r="V40" s="36" t="n">
        <v>8855.909</v>
      </c>
      <c r="W40" s="36" t="n">
        <v>0</v>
      </c>
    </row>
    <row r="41">
      <c r="A41" s="37" t="inlineStr">
        <is>
          <t>1998-01</t>
        </is>
      </c>
      <c r="B41" s="37" t="n">
        <v>1998</v>
      </c>
      <c r="C41" s="37" t="n">
        <v>1</v>
      </c>
      <c r="D41" s="38" t="n">
        <v>-977.688</v>
      </c>
      <c r="E41" s="38" t="n">
        <v>854.723</v>
      </c>
      <c r="F41" s="38" t="n">
        <v>-4520.336</v>
      </c>
      <c r="G41" s="38" t="n">
        <v/>
      </c>
      <c r="H41" s="38" t="n">
        <v/>
      </c>
      <c r="I41" s="38" t="n">
        <v>235.658</v>
      </c>
      <c r="J41" s="38" t="n">
        <v>-218.543</v>
      </c>
      <c r="K41" s="38" t="n">
        <v>3252.389</v>
      </c>
      <c r="L41" s="38" t="n">
        <v>-4</v>
      </c>
      <c r="M41" s="38" t="n">
        <v>0</v>
      </c>
      <c r="N41" s="38" t="n">
        <v/>
      </c>
      <c r="O41" s="38" t="n">
        <v/>
      </c>
      <c r="P41" s="38" t="n">
        <v/>
      </c>
      <c r="Q41" s="38" t="n">
        <v>113.792</v>
      </c>
      <c r="R41" s="38" t="n">
        <v>30564.327</v>
      </c>
      <c r="S41" s="38" t="n">
        <v>17531.732</v>
      </c>
      <c r="T41" s="38" t="n">
        <v>13032.595</v>
      </c>
      <c r="U41" s="38" t="n">
        <v>-1264.005</v>
      </c>
      <c r="V41" s="38" t="n">
        <v>-1264.005</v>
      </c>
      <c r="W41" s="38" t="n">
        <v>0</v>
      </c>
    </row>
    <row r="42">
      <c r="A42" s="35" t="inlineStr">
        <is>
          <t>1998-02</t>
        </is>
      </c>
      <c r="B42" s="35" t="n">
        <v>1998</v>
      </c>
      <c r="C42" s="35" t="n">
        <v>2</v>
      </c>
      <c r="D42" s="36" t="n">
        <v>-32.225</v>
      </c>
      <c r="E42" s="36" t="n">
        <v>5772.566</v>
      </c>
      <c r="F42" s="36" t="n">
        <v>-198.64</v>
      </c>
      <c r="G42" s="36" t="n">
        <v/>
      </c>
      <c r="H42" s="36" t="n">
        <v/>
      </c>
      <c r="I42" s="36" t="n">
        <v>-665.2380000000001</v>
      </c>
      <c r="J42" s="36" t="n">
        <v>-69.71599999999999</v>
      </c>
      <c r="K42" s="36" t="n">
        <v>-6333.952</v>
      </c>
      <c r="L42" s="36" t="n">
        <v>-37</v>
      </c>
      <c r="M42" s="36" t="n">
        <v>-0.016</v>
      </c>
      <c r="N42" s="36" t="n">
        <v/>
      </c>
      <c r="O42" s="36" t="n">
        <v/>
      </c>
      <c r="P42" s="36" t="n">
        <v/>
      </c>
      <c r="Q42" s="36" t="n">
        <v>90.92100000000001</v>
      </c>
      <c r="R42" s="36" t="n">
        <v>29091.028</v>
      </c>
      <c r="S42" s="36" t="n">
        <v>17403.211</v>
      </c>
      <c r="T42" s="36" t="n">
        <v>11687.817</v>
      </c>
      <c r="U42" s="36" t="n">
        <v>-1473.299</v>
      </c>
      <c r="V42" s="36" t="n">
        <v>-1473.3</v>
      </c>
      <c r="W42" s="36" t="n">
        <v>-0.001</v>
      </c>
    </row>
    <row r="43">
      <c r="A43" s="37" t="inlineStr">
        <is>
          <t>1998-03</t>
        </is>
      </c>
      <c r="B43" s="37" t="n">
        <v>1998</v>
      </c>
      <c r="C43" s="37" t="n">
        <v>3</v>
      </c>
      <c r="D43" s="38" t="n">
        <v>793.616</v>
      </c>
      <c r="E43" s="38" t="n">
        <v>10232.99</v>
      </c>
      <c r="F43" s="38" t="n">
        <v>-11001.274</v>
      </c>
      <c r="G43" s="38" t="n">
        <v/>
      </c>
      <c r="H43" s="38" t="n">
        <v/>
      </c>
      <c r="I43" s="38" t="n">
        <v>285.901</v>
      </c>
      <c r="J43" s="38" t="n">
        <v>-201.328</v>
      </c>
      <c r="K43" s="38" t="n">
        <v>43.532</v>
      </c>
      <c r="L43" s="38" t="n">
        <v>-44.03</v>
      </c>
      <c r="M43" s="38" t="n">
        <v>-0.376</v>
      </c>
      <c r="N43" s="38" t="n">
        <v/>
      </c>
      <c r="O43" s="38" t="n">
        <v/>
      </c>
      <c r="P43" s="38" t="n">
        <v/>
      </c>
      <c r="Q43" s="38" t="n">
        <v>785.021</v>
      </c>
      <c r="R43" s="38" t="n">
        <v>29985.079</v>
      </c>
      <c r="S43" s="38" t="n">
        <v>16367.828</v>
      </c>
      <c r="T43" s="38" t="n">
        <v>13617.251</v>
      </c>
      <c r="U43" s="38" t="n">
        <v>894.051</v>
      </c>
      <c r="V43" s="38" t="n">
        <v>894.052</v>
      </c>
      <c r="W43" s="38" t="n">
        <v>0.001</v>
      </c>
    </row>
    <row r="44">
      <c r="A44" s="35" t="inlineStr">
        <is>
          <t>1998-04</t>
        </is>
      </c>
      <c r="B44" s="35" t="n">
        <v>1998</v>
      </c>
      <c r="C44" s="35" t="n">
        <v>4</v>
      </c>
      <c r="D44" s="36" t="n">
        <v>-6543.6</v>
      </c>
      <c r="E44" s="36" t="n">
        <v>5912.307</v>
      </c>
      <c r="F44" s="36" t="n">
        <v>1150.364</v>
      </c>
      <c r="G44" s="36" t="n">
        <v/>
      </c>
      <c r="H44" s="36" t="n">
        <v/>
      </c>
      <c r="I44" s="36" t="n">
        <v>282.411</v>
      </c>
      <c r="J44" s="36" t="n">
        <v>-349.108</v>
      </c>
      <c r="K44" s="36" t="n">
        <v>-156.897</v>
      </c>
      <c r="L44" s="36" t="n">
        <v>17</v>
      </c>
      <c r="M44" s="36" t="n">
        <v>19.3</v>
      </c>
      <c r="N44" s="36" t="n">
        <v/>
      </c>
      <c r="O44" s="36" t="n">
        <v/>
      </c>
      <c r="P44" s="36" t="n">
        <v/>
      </c>
      <c r="Q44" s="36" t="n">
        <v>338.418</v>
      </c>
      <c r="R44" s="36" t="n">
        <v>30655.275</v>
      </c>
      <c r="S44" s="36" t="n">
        <v>17236.9</v>
      </c>
      <c r="T44" s="36" t="n">
        <v>13418.375</v>
      </c>
      <c r="U44" s="36" t="n">
        <v>670.196</v>
      </c>
      <c r="V44" s="36" t="n">
        <v>670.1950000000001</v>
      </c>
      <c r="W44" s="36" t="n">
        <v>-0.001</v>
      </c>
    </row>
    <row r="45">
      <c r="A45" s="37" t="inlineStr">
        <is>
          <t>1998-05</t>
        </is>
      </c>
      <c r="B45" s="37" t="n">
        <v>1998</v>
      </c>
      <c r="C45" s="37" t="n">
        <v>5</v>
      </c>
      <c r="D45" s="38" t="n">
        <v>-471.382</v>
      </c>
      <c r="E45" s="38" t="n">
        <v>-1839.9</v>
      </c>
      <c r="F45" s="38" t="n">
        <v>2497.375</v>
      </c>
      <c r="G45" s="38" t="n">
        <v/>
      </c>
      <c r="H45" s="38" t="n">
        <v/>
      </c>
      <c r="I45" s="38" t="n">
        <v>270.263</v>
      </c>
      <c r="J45" s="38" t="n">
        <v>-31.157</v>
      </c>
      <c r="K45" s="38" t="n">
        <v>4.151</v>
      </c>
      <c r="L45" s="38" t="n">
        <v>27</v>
      </c>
      <c r="M45" s="38" t="n">
        <v>0</v>
      </c>
      <c r="N45" s="38" t="n">
        <v/>
      </c>
      <c r="O45" s="38" t="n">
        <v/>
      </c>
      <c r="P45" s="38" t="n">
        <v/>
      </c>
      <c r="Q45" s="38" t="n">
        <v>-12.433</v>
      </c>
      <c r="R45" s="38" t="n">
        <v>31099.191</v>
      </c>
      <c r="S45" s="38" t="n">
        <v>17285.723</v>
      </c>
      <c r="T45" s="38" t="n">
        <v>13813.468</v>
      </c>
      <c r="U45" s="38" t="n">
        <v>443.916</v>
      </c>
      <c r="V45" s="38" t="n">
        <v>443.917</v>
      </c>
      <c r="W45" s="38" t="n">
        <v>0.001</v>
      </c>
    </row>
    <row r="46">
      <c r="A46" s="35" t="inlineStr">
        <is>
          <t>1998-06</t>
        </is>
      </c>
      <c r="B46" s="35" t="n">
        <v>1998</v>
      </c>
      <c r="C46" s="35" t="n">
        <v>6</v>
      </c>
      <c r="D46" s="36" t="n">
        <v>1214.963</v>
      </c>
      <c r="E46" s="36" t="n">
        <v>-961.639</v>
      </c>
      <c r="F46" s="36" t="n">
        <v>6166.527</v>
      </c>
      <c r="G46" s="36" t="n">
        <v/>
      </c>
      <c r="H46" s="36" t="n">
        <v/>
      </c>
      <c r="I46" s="36" t="n">
        <v>27.608</v>
      </c>
      <c r="J46" s="36" t="n">
        <v>-26.304</v>
      </c>
      <c r="K46" s="36" t="n">
        <v>40.786</v>
      </c>
      <c r="L46" s="36" t="n">
        <v>-11.611</v>
      </c>
      <c r="M46" s="36" t="n">
        <v>0</v>
      </c>
      <c r="N46" s="36" t="n">
        <v/>
      </c>
      <c r="O46" s="36" t="n">
        <v/>
      </c>
      <c r="P46" s="36" t="n">
        <v/>
      </c>
      <c r="Q46" s="36" t="n">
        <v>-328.374</v>
      </c>
      <c r="R46" s="36" t="n">
        <v>37221.147</v>
      </c>
      <c r="S46" s="36" t="n">
        <v>17412.127</v>
      </c>
      <c r="T46" s="36" t="n">
        <v>19809.02</v>
      </c>
      <c r="U46" s="36" t="n">
        <v>6121.956</v>
      </c>
      <c r="V46" s="36" t="n">
        <v>6121.956</v>
      </c>
      <c r="W46" s="36" t="n">
        <v>0</v>
      </c>
    </row>
    <row r="47">
      <c r="A47" s="37" t="inlineStr">
        <is>
          <t>1998-07</t>
        </is>
      </c>
      <c r="B47" s="37" t="n">
        <v>1998</v>
      </c>
      <c r="C47" s="37" t="n">
        <v>7</v>
      </c>
      <c r="D47" s="38" t="n">
        <v>-956.095</v>
      </c>
      <c r="E47" s="38" t="n">
        <v>-476.318</v>
      </c>
      <c r="F47" s="38" t="n">
        <v>-2662.103</v>
      </c>
      <c r="G47" s="38" t="n">
        <v/>
      </c>
      <c r="H47" s="38" t="n">
        <v/>
      </c>
      <c r="I47" s="38" t="n">
        <v>-189.636</v>
      </c>
      <c r="J47" s="38" t="n">
        <v>-19.554</v>
      </c>
      <c r="K47" s="38" t="n">
        <v>-35.586</v>
      </c>
      <c r="L47" s="38" t="n">
        <v>0</v>
      </c>
      <c r="M47" s="38" t="n">
        <v>0</v>
      </c>
      <c r="N47" s="38" t="n">
        <v/>
      </c>
      <c r="O47" s="38" t="n">
        <v/>
      </c>
      <c r="P47" s="38" t="n">
        <v/>
      </c>
      <c r="Q47" s="38" t="n">
        <v>104.012</v>
      </c>
      <c r="R47" s="38" t="n">
        <v>32985.867</v>
      </c>
      <c r="S47" s="38" t="n">
        <v>17911.187</v>
      </c>
      <c r="T47" s="38" t="n">
        <v>15074.68</v>
      </c>
      <c r="U47" s="38" t="n">
        <v>-4235.28</v>
      </c>
      <c r="V47" s="38" t="n">
        <v>-4235.28</v>
      </c>
      <c r="W47" s="38" t="n">
        <v>0</v>
      </c>
    </row>
    <row r="48">
      <c r="A48" s="35" t="inlineStr">
        <is>
          <t>1998-08</t>
        </is>
      </c>
      <c r="B48" s="35" t="n">
        <v>1998</v>
      </c>
      <c r="C48" s="35" t="n">
        <v>8</v>
      </c>
      <c r="D48" s="36" t="n">
        <v>-8643.245999999999</v>
      </c>
      <c r="E48" s="36" t="n">
        <v>-3693.528</v>
      </c>
      <c r="F48" s="36" t="n">
        <v>12888.749</v>
      </c>
      <c r="G48" s="36" t="n">
        <v/>
      </c>
      <c r="H48" s="36" t="n">
        <v/>
      </c>
      <c r="I48" s="36" t="n">
        <v>508.856</v>
      </c>
      <c r="J48" s="36" t="n">
        <v>-1.762</v>
      </c>
      <c r="K48" s="36" t="n">
        <v>1105.235</v>
      </c>
      <c r="L48" s="36" t="n">
        <v>-1</v>
      </c>
      <c r="M48" s="36" t="n">
        <v>0</v>
      </c>
      <c r="N48" s="36" t="n">
        <v/>
      </c>
      <c r="O48" s="36" t="n">
        <v/>
      </c>
      <c r="P48" s="36" t="n">
        <v/>
      </c>
      <c r="Q48" s="36" t="n">
        <v>263.651</v>
      </c>
      <c r="R48" s="36" t="n">
        <v>35412.822</v>
      </c>
      <c r="S48" s="36" t="n">
        <v>18161.467</v>
      </c>
      <c r="T48" s="36" t="n">
        <v>17251.355</v>
      </c>
      <c r="U48" s="36" t="n">
        <v>2426.955</v>
      </c>
      <c r="V48" s="36" t="n">
        <v>2426.955</v>
      </c>
      <c r="W48" s="36" t="n">
        <v>0</v>
      </c>
    </row>
    <row r="49">
      <c r="A49" s="37" t="inlineStr">
        <is>
          <t>1998-09</t>
        </is>
      </c>
      <c r="B49" s="37" t="n">
        <v>1998</v>
      </c>
      <c r="C49" s="37" t="n">
        <v>9</v>
      </c>
      <c r="D49" s="38" t="n">
        <v>-680.647</v>
      </c>
      <c r="E49" s="38" t="n">
        <v>-26017.59</v>
      </c>
      <c r="F49" s="38" t="n">
        <v>17683.978</v>
      </c>
      <c r="G49" s="38" t="n">
        <v/>
      </c>
      <c r="H49" s="38" t="n">
        <v/>
      </c>
      <c r="I49" s="38" t="n">
        <v>6741.281</v>
      </c>
      <c r="J49" s="38" t="n">
        <v>127.149</v>
      </c>
      <c r="K49" s="38" t="n">
        <v>-1212.704</v>
      </c>
      <c r="L49" s="38" t="n">
        <v>-11.645</v>
      </c>
      <c r="M49" s="38" t="n">
        <v>0</v>
      </c>
      <c r="N49" s="38" t="n">
        <v/>
      </c>
      <c r="O49" s="38" t="n">
        <v/>
      </c>
      <c r="P49" s="38" t="n">
        <v/>
      </c>
      <c r="Q49" s="38" t="n">
        <v>-40.553</v>
      </c>
      <c r="R49" s="38" t="n">
        <v>32002.091</v>
      </c>
      <c r="S49" s="38" t="n">
        <v>18405.182</v>
      </c>
      <c r="T49" s="38" t="n">
        <v>13596.909</v>
      </c>
      <c r="U49" s="38" t="n">
        <v>-3410.731</v>
      </c>
      <c r="V49" s="38" t="n">
        <v>-3410.731</v>
      </c>
      <c r="W49" s="38" t="n">
        <v>0</v>
      </c>
    </row>
    <row r="50">
      <c r="A50" s="35" t="inlineStr">
        <is>
          <t>1998-10</t>
        </is>
      </c>
      <c r="B50" s="35" t="n">
        <v>1998</v>
      </c>
      <c r="C50" s="35" t="n">
        <v>10</v>
      </c>
      <c r="D50" s="36" t="n">
        <v>-892.087</v>
      </c>
      <c r="E50" s="36" t="n">
        <v>-4399.589</v>
      </c>
      <c r="F50" s="36" t="n">
        <v>-7520.486</v>
      </c>
      <c r="G50" s="36" t="n">
        <v/>
      </c>
      <c r="H50" s="36" t="n">
        <v/>
      </c>
      <c r="I50" s="36" t="n">
        <v>12729.022</v>
      </c>
      <c r="J50" s="36" t="n">
        <v>163.954</v>
      </c>
      <c r="K50" s="36" t="n">
        <v>-43.698</v>
      </c>
      <c r="L50" s="36" t="n">
        <v>0</v>
      </c>
      <c r="M50" s="36" t="n">
        <v>0</v>
      </c>
      <c r="N50" s="36" t="n">
        <v/>
      </c>
      <c r="O50" s="36" t="n">
        <v/>
      </c>
      <c r="P50" s="36" t="n">
        <v/>
      </c>
      <c r="Q50" s="36" t="n">
        <v>787.229</v>
      </c>
      <c r="R50" s="36" t="n">
        <v>32826.436</v>
      </c>
      <c r="S50" s="36" t="n">
        <v>19311.772</v>
      </c>
      <c r="T50" s="36" t="n">
        <v>13514.664</v>
      </c>
      <c r="U50" s="36" t="n">
        <v>824.345</v>
      </c>
      <c r="V50" s="36" t="n">
        <v>824.345</v>
      </c>
      <c r="W50" s="36" t="n">
        <v>0</v>
      </c>
    </row>
    <row r="51">
      <c r="A51" s="37" t="inlineStr">
        <is>
          <t>1998-11</t>
        </is>
      </c>
      <c r="B51" s="37" t="n">
        <v>1998</v>
      </c>
      <c r="C51" s="37" t="n">
        <v>11</v>
      </c>
      <c r="D51" s="38" t="n">
        <v>2773.14</v>
      </c>
      <c r="E51" s="38" t="n">
        <v>-259.421</v>
      </c>
      <c r="F51" s="38" t="n">
        <v>6362.2</v>
      </c>
      <c r="G51" s="38" t="n">
        <v/>
      </c>
      <c r="H51" s="38" t="n">
        <v/>
      </c>
      <c r="I51" s="38" t="n">
        <v>48.15</v>
      </c>
      <c r="J51" s="38" t="n">
        <v>31.612</v>
      </c>
      <c r="K51" s="38" t="n">
        <v>-10.088</v>
      </c>
      <c r="L51" s="38" t="n">
        <v>-127.241</v>
      </c>
      <c r="M51" s="38" t="n">
        <v>-1.948</v>
      </c>
      <c r="N51" s="38" t="n">
        <v/>
      </c>
      <c r="O51" s="38" t="n">
        <v/>
      </c>
      <c r="P51" s="38" t="n">
        <v/>
      </c>
      <c r="Q51" s="38" t="n">
        <v>-1904.714</v>
      </c>
      <c r="R51" s="38" t="n">
        <v>39737.748</v>
      </c>
      <c r="S51" s="38" t="n">
        <v>19873.545</v>
      </c>
      <c r="T51" s="38" t="n">
        <v>19864.203</v>
      </c>
      <c r="U51" s="38" t="n">
        <v>6911.312</v>
      </c>
      <c r="V51" s="38" t="n">
        <v>6911.69</v>
      </c>
      <c r="W51" s="38" t="n">
        <v>0.378</v>
      </c>
    </row>
    <row r="52">
      <c r="A52" s="35" t="inlineStr">
        <is>
          <t>1998-12</t>
        </is>
      </c>
      <c r="B52" s="35" t="n">
        <v>1998</v>
      </c>
      <c r="C52" s="35" t="n">
        <v>12</v>
      </c>
      <c r="D52" s="36" t="n">
        <v>-691.282</v>
      </c>
      <c r="E52" s="36" t="n">
        <v>-6553.666</v>
      </c>
      <c r="F52" s="36" t="n">
        <v>7008.447</v>
      </c>
      <c r="G52" s="36" t="n">
        <v/>
      </c>
      <c r="H52" s="36" t="n">
        <v/>
      </c>
      <c r="I52" s="36" t="n">
        <v>8.602</v>
      </c>
      <c r="J52" s="36" t="n">
        <v>-224.877</v>
      </c>
      <c r="K52" s="36" t="n">
        <v>-80.172</v>
      </c>
      <c r="L52" s="36" t="n">
        <v>-8.420999999999999</v>
      </c>
      <c r="M52" s="36" t="n">
        <v>0</v>
      </c>
      <c r="N52" s="36" t="n">
        <v/>
      </c>
      <c r="O52" s="36" t="n">
        <v/>
      </c>
      <c r="P52" s="36" t="n">
        <v/>
      </c>
      <c r="Q52" s="36" t="n">
        <v>-17.107</v>
      </c>
      <c r="R52" s="36" t="n">
        <v>39184.378</v>
      </c>
      <c r="S52" s="36" t="n">
        <v>24166.79</v>
      </c>
      <c r="T52" s="36" t="n">
        <v>15017.588</v>
      </c>
      <c r="U52" s="36" t="n">
        <v>-553.37</v>
      </c>
      <c r="V52" s="36" t="n">
        <v>-558.476</v>
      </c>
      <c r="W52" s="36" t="n">
        <v>-5.106</v>
      </c>
    </row>
    <row r="53">
      <c r="A53" s="37" t="inlineStr">
        <is>
          <t>1999-01</t>
        </is>
      </c>
      <c r="B53" s="37" t="n">
        <v>1999</v>
      </c>
      <c r="C53" s="37" t="n">
        <v>1</v>
      </c>
      <c r="D53" s="38" t="n">
        <v>-100.479</v>
      </c>
      <c r="E53" s="38" t="n">
        <v>-4755.625</v>
      </c>
      <c r="F53" s="38" t="n">
        <v>7112.856</v>
      </c>
      <c r="G53" s="38" t="n">
        <v/>
      </c>
      <c r="H53" s="38" t="n">
        <v/>
      </c>
      <c r="I53" s="38" t="n">
        <v>-110.988</v>
      </c>
      <c r="J53" s="38" t="n">
        <v>-170.854</v>
      </c>
      <c r="K53" s="38" t="n">
        <v>-1319.06</v>
      </c>
      <c r="L53" s="38" t="n">
        <v/>
      </c>
      <c r="M53" s="38" t="n">
        <v>-182.481</v>
      </c>
      <c r="N53" s="38" t="n">
        <v/>
      </c>
      <c r="O53" s="38" t="n">
        <v/>
      </c>
      <c r="P53" s="38" t="n">
        <v/>
      </c>
      <c r="Q53" s="38" t="n">
        <v>-29.26</v>
      </c>
      <c r="R53" s="38" t="n">
        <v>39635.374</v>
      </c>
      <c r="S53" s="38" t="n">
        <v>21302.202</v>
      </c>
      <c r="T53" s="38" t="n">
        <v>18333.172</v>
      </c>
      <c r="U53" s="38" t="n">
        <v>450.996</v>
      </c>
      <c r="V53" s="38" t="n">
        <v>444.109</v>
      </c>
      <c r="W53" s="38" t="n">
        <v>-6.887</v>
      </c>
    </row>
    <row r="54">
      <c r="A54" s="35" t="inlineStr">
        <is>
          <t>1999-02</t>
        </is>
      </c>
      <c r="B54" s="35" t="n">
        <v>1999</v>
      </c>
      <c r="C54" s="35" t="n">
        <v>2</v>
      </c>
      <c r="D54" s="36" t="n">
        <v>-815.318</v>
      </c>
      <c r="E54" s="36" t="n">
        <v>285.368</v>
      </c>
      <c r="F54" s="36" t="n">
        <v>-2008.109</v>
      </c>
      <c r="G54" s="36" t="n">
        <v/>
      </c>
      <c r="H54" s="36" t="n">
        <v/>
      </c>
      <c r="I54" s="36" t="n">
        <v>88.634</v>
      </c>
      <c r="J54" s="36" t="n">
        <v>496.228</v>
      </c>
      <c r="K54" s="36" t="n">
        <v>-27.36</v>
      </c>
      <c r="L54" s="36" t="n">
        <v/>
      </c>
      <c r="M54" s="36" t="n">
        <v>0</v>
      </c>
      <c r="N54" s="36" t="n">
        <v/>
      </c>
      <c r="O54" s="36" t="n">
        <v/>
      </c>
      <c r="P54" s="36" t="n">
        <v/>
      </c>
      <c r="Q54" s="36" t="n">
        <v>201.31</v>
      </c>
      <c r="R54" s="36" t="n">
        <v>37856.112</v>
      </c>
      <c r="S54" s="36" t="n">
        <v>21447.977</v>
      </c>
      <c r="T54" s="36" t="n">
        <v>16408.135</v>
      </c>
      <c r="U54" s="36" t="n">
        <v>-1779.262</v>
      </c>
      <c r="V54" s="36" t="n">
        <v>-1779.247</v>
      </c>
      <c r="W54" s="36" t="n">
        <v>0.015</v>
      </c>
    </row>
    <row r="55">
      <c r="A55" s="37" t="inlineStr">
        <is>
          <t>1999-03</t>
        </is>
      </c>
      <c r="B55" s="37" t="n">
        <v>1999</v>
      </c>
      <c r="C55" s="37" t="n">
        <v>3</v>
      </c>
      <c r="D55" s="38" t="n">
        <v>-1768.481</v>
      </c>
      <c r="E55" s="38" t="n">
        <v>-3811.55</v>
      </c>
      <c r="F55" s="38" t="n">
        <v>5075.706</v>
      </c>
      <c r="G55" s="38" t="n">
        <v/>
      </c>
      <c r="H55" s="38" t="n">
        <v/>
      </c>
      <c r="I55" s="38" t="n">
        <v>227.24</v>
      </c>
      <c r="J55" s="38" t="n">
        <v>2.058</v>
      </c>
      <c r="K55" s="38" t="n">
        <v>-315.559</v>
      </c>
      <c r="L55" s="38" t="n">
        <v/>
      </c>
      <c r="M55" s="38" t="n">
        <v>0</v>
      </c>
      <c r="N55" s="38" t="n">
        <v/>
      </c>
      <c r="O55" s="38" t="n">
        <v/>
      </c>
      <c r="P55" s="38" t="n">
        <v/>
      </c>
      <c r="Q55" s="38" t="n">
        <v>-33.945</v>
      </c>
      <c r="R55" s="38" t="n">
        <v>37232.284</v>
      </c>
      <c r="S55" s="38" t="n">
        <v>20819.497</v>
      </c>
      <c r="T55" s="38" t="n">
        <v>16412.787</v>
      </c>
      <c r="U55" s="38" t="n">
        <v>-623.828</v>
      </c>
      <c r="V55" s="38" t="n">
        <v>-624.5309999999999</v>
      </c>
      <c r="W55" s="38" t="n">
        <v>-0.703</v>
      </c>
    </row>
    <row r="56">
      <c r="A56" s="35" t="inlineStr">
        <is>
          <t>1999-04</t>
        </is>
      </c>
      <c r="B56" s="35" t="n">
        <v>1999</v>
      </c>
      <c r="C56" s="35" t="n">
        <v>4</v>
      </c>
      <c r="D56" s="36" t="n">
        <v>-2649.54</v>
      </c>
      <c r="E56" s="36" t="n">
        <v>-1950.304</v>
      </c>
      <c r="F56" s="36" t="n">
        <v>3631.286</v>
      </c>
      <c r="G56" s="36" t="n">
        <v/>
      </c>
      <c r="H56" s="36" t="n">
        <v/>
      </c>
      <c r="I56" s="36" t="n">
        <v>198.873</v>
      </c>
      <c r="J56" s="36" t="n">
        <v>153.868</v>
      </c>
      <c r="K56" s="36" t="n">
        <v>-5.796</v>
      </c>
      <c r="L56" s="36" t="n">
        <v/>
      </c>
      <c r="M56" s="36" t="n">
        <v>0</v>
      </c>
      <c r="N56" s="36" t="n">
        <v/>
      </c>
      <c r="O56" s="36" t="n">
        <v/>
      </c>
      <c r="P56" s="36" t="n">
        <v/>
      </c>
      <c r="Q56" s="36" t="n">
        <v>-259.057</v>
      </c>
      <c r="R56" s="36" t="n">
        <v>36351.614</v>
      </c>
      <c r="S56" s="36" t="n">
        <v>19719.089</v>
      </c>
      <c r="T56" s="36" t="n">
        <v>16632.525</v>
      </c>
      <c r="U56" s="36" t="n">
        <v>-880.67</v>
      </c>
      <c r="V56" s="36" t="n">
        <v>-880.67</v>
      </c>
      <c r="W56" s="36" t="n">
        <v>0</v>
      </c>
    </row>
    <row r="57">
      <c r="A57" s="37" t="inlineStr">
        <is>
          <t>1999-05</t>
        </is>
      </c>
      <c r="B57" s="37" t="n">
        <v>1999</v>
      </c>
      <c r="C57" s="37" t="n">
        <v>5</v>
      </c>
      <c r="D57" s="38" t="n">
        <v>25.001</v>
      </c>
      <c r="E57" s="38" t="n">
        <v>658.625</v>
      </c>
      <c r="F57" s="38" t="n">
        <v>3253.539</v>
      </c>
      <c r="G57" s="38" t="n">
        <v/>
      </c>
      <c r="H57" s="38" t="n">
        <v/>
      </c>
      <c r="I57" s="38" t="n">
        <v>106.775</v>
      </c>
      <c r="J57" s="38" t="n">
        <v>42.25</v>
      </c>
      <c r="K57" s="38" t="n">
        <v>0</v>
      </c>
      <c r="L57" s="38" t="n">
        <v/>
      </c>
      <c r="M57" s="38" t="n">
        <v>-29.727</v>
      </c>
      <c r="N57" s="38" t="n">
        <v/>
      </c>
      <c r="O57" s="38" t="n">
        <v/>
      </c>
      <c r="P57" s="38" t="n">
        <v/>
      </c>
      <c r="Q57" s="38" t="n">
        <v>26.915</v>
      </c>
      <c r="R57" s="38" t="n">
        <v>40434.992</v>
      </c>
      <c r="S57" s="38" t="n">
        <v>19409.076</v>
      </c>
      <c r="T57" s="38" t="n">
        <v>21025.916</v>
      </c>
      <c r="U57" s="38" t="n">
        <v>4083.378</v>
      </c>
      <c r="V57" s="38" t="n">
        <v>4083.378</v>
      </c>
      <c r="W57" s="38" t="n">
        <v>0</v>
      </c>
    </row>
    <row r="58">
      <c r="A58" s="35" t="inlineStr">
        <is>
          <t>1999-06</t>
        </is>
      </c>
      <c r="B58" s="35" t="n">
        <v>1999</v>
      </c>
      <c r="C58" s="35" t="n">
        <v>6</v>
      </c>
      <c r="D58" s="36" t="n">
        <v>-843.492</v>
      </c>
      <c r="E58" s="36" t="n">
        <v>7.677</v>
      </c>
      <c r="F58" s="36" t="n">
        <v>-6657.397</v>
      </c>
      <c r="G58" s="36" t="n">
        <v/>
      </c>
      <c r="H58" s="36" t="n">
        <v/>
      </c>
      <c r="I58" s="36" t="n">
        <v>47.472</v>
      </c>
      <c r="J58" s="36" t="n">
        <v>183.367</v>
      </c>
      <c r="K58" s="36" t="n">
        <v>-6.917</v>
      </c>
      <c r="L58" s="36" t="n">
        <v/>
      </c>
      <c r="M58" s="36" t="n">
        <v>0</v>
      </c>
      <c r="N58" s="36" t="n">
        <v/>
      </c>
      <c r="O58" s="36" t="n">
        <v/>
      </c>
      <c r="P58" s="36" t="n">
        <v/>
      </c>
      <c r="Q58" s="36" t="n">
        <v>11.812</v>
      </c>
      <c r="R58" s="36" t="n">
        <v>33177.584</v>
      </c>
      <c r="S58" s="36" t="n">
        <v>19785.451</v>
      </c>
      <c r="T58" s="36" t="n">
        <v>13392.133</v>
      </c>
      <c r="U58" s="36" t="n">
        <v>-7257.408</v>
      </c>
      <c r="V58" s="36" t="n">
        <v>-7257.478</v>
      </c>
      <c r="W58" s="36" t="n">
        <v>-0.07000000000000001</v>
      </c>
    </row>
    <row r="59">
      <c r="A59" s="37" t="inlineStr">
        <is>
          <t>1999-07</t>
        </is>
      </c>
      <c r="B59" s="37" t="n">
        <v>1999</v>
      </c>
      <c r="C59" s="37" t="n">
        <v>7</v>
      </c>
      <c r="D59" s="38" t="n">
        <v>-1627.069</v>
      </c>
      <c r="E59" s="38" t="n">
        <v>-12.61</v>
      </c>
      <c r="F59" s="38" t="n">
        <v>9333.42</v>
      </c>
      <c r="G59" s="38" t="n">
        <v/>
      </c>
      <c r="H59" s="38" t="n">
        <v/>
      </c>
      <c r="I59" s="38" t="n">
        <v>55.226</v>
      </c>
      <c r="J59" s="38" t="n">
        <v>209.787</v>
      </c>
      <c r="K59" s="38" t="n">
        <v>-7.032</v>
      </c>
      <c r="L59" s="38" t="n">
        <v/>
      </c>
      <c r="M59" s="38" t="n">
        <v>0</v>
      </c>
      <c r="N59" s="38" t="n">
        <v/>
      </c>
      <c r="O59" s="38" t="n">
        <v/>
      </c>
      <c r="P59" s="38" t="n">
        <v/>
      </c>
      <c r="Q59" s="38" t="n">
        <v>33.137</v>
      </c>
      <c r="R59" s="38" t="n">
        <v>41162.443</v>
      </c>
      <c r="S59" s="38" t="n">
        <v>20497.732</v>
      </c>
      <c r="T59" s="38" t="n">
        <v>20664.711</v>
      </c>
      <c r="U59" s="38" t="n">
        <v>7984.859</v>
      </c>
      <c r="V59" s="38" t="n">
        <v>7984.859</v>
      </c>
      <c r="W59" s="38" t="n">
        <v>0</v>
      </c>
    </row>
    <row r="60">
      <c r="A60" s="35" t="inlineStr">
        <is>
          <t>1999-08</t>
        </is>
      </c>
      <c r="B60" s="35" t="n">
        <v>1999</v>
      </c>
      <c r="C60" s="35" t="n">
        <v>8</v>
      </c>
      <c r="D60" s="36" t="n">
        <v>-6433.62</v>
      </c>
      <c r="E60" s="36" t="n">
        <v>-295.638</v>
      </c>
      <c r="F60" s="36" t="n">
        <v>-4138.707</v>
      </c>
      <c r="G60" s="36" t="n">
        <v/>
      </c>
      <c r="H60" s="36" t="n">
        <v/>
      </c>
      <c r="I60" s="36" t="n">
        <v>-63.692</v>
      </c>
      <c r="J60" s="36" t="n">
        <v>3629.092</v>
      </c>
      <c r="K60" s="36" t="n">
        <v>-7.175</v>
      </c>
      <c r="L60" s="36" t="n">
        <v/>
      </c>
      <c r="M60" s="36" t="n">
        <v>0</v>
      </c>
      <c r="N60" s="36" t="n">
        <v/>
      </c>
      <c r="O60" s="36" t="n">
        <v/>
      </c>
      <c r="P60" s="36" t="n">
        <v/>
      </c>
      <c r="Q60" s="36" t="n">
        <v>17.738</v>
      </c>
      <c r="R60" s="36" t="n">
        <v>33870.441</v>
      </c>
      <c r="S60" s="36" t="n">
        <v>20041.038</v>
      </c>
      <c r="T60" s="36" t="n">
        <v>13829.403</v>
      </c>
      <c r="U60" s="36" t="n">
        <v>-7292.002</v>
      </c>
      <c r="V60" s="36" t="n">
        <v>-7292.002</v>
      </c>
      <c r="W60" s="36" t="n">
        <v>0</v>
      </c>
    </row>
    <row r="61">
      <c r="A61" s="37" t="inlineStr">
        <is>
          <t>1999-09</t>
        </is>
      </c>
      <c r="B61" s="37" t="n">
        <v>1999</v>
      </c>
      <c r="C61" s="37" t="n">
        <v>9</v>
      </c>
      <c r="D61" s="38" t="n">
        <v>-2901.287</v>
      </c>
      <c r="E61" s="38" t="n">
        <v>-10.688</v>
      </c>
      <c r="F61" s="38" t="n">
        <v>4518.248</v>
      </c>
      <c r="G61" s="38" t="n">
        <v/>
      </c>
      <c r="H61" s="38" t="n">
        <v/>
      </c>
      <c r="I61" s="38" t="n">
        <v>527.5</v>
      </c>
      <c r="J61" s="38" t="n">
        <v/>
      </c>
      <c r="K61" s="38" t="n">
        <v>-7.261</v>
      </c>
      <c r="L61" s="38" t="n">
        <v/>
      </c>
      <c r="M61" s="38" t="n">
        <v>0</v>
      </c>
      <c r="N61" s="38" t="n">
        <v/>
      </c>
      <c r="O61" s="38" t="n">
        <v/>
      </c>
      <c r="P61" s="38" t="n">
        <v/>
      </c>
      <c r="Q61" s="38" t="n">
        <v>-26.364</v>
      </c>
      <c r="R61" s="38" t="n">
        <v>35970.589</v>
      </c>
      <c r="S61" s="38" t="n">
        <v>20279.634</v>
      </c>
      <c r="T61" s="38" t="n">
        <v>15690.955</v>
      </c>
      <c r="U61" s="38" t="n">
        <v>2100.148</v>
      </c>
      <c r="V61" s="38" t="n">
        <v>2100.148</v>
      </c>
      <c r="W61" s="38" t="n">
        <v>0</v>
      </c>
    </row>
    <row r="62">
      <c r="A62" s="35" t="inlineStr">
        <is>
          <t>1999-10</t>
        </is>
      </c>
      <c r="B62" s="35" t="n">
        <v>1999</v>
      </c>
      <c r="C62" s="35" t="n">
        <v>10</v>
      </c>
      <c r="D62" s="36" t="n">
        <v>722.546</v>
      </c>
      <c r="E62" s="36" t="n">
        <v>-1410.892</v>
      </c>
      <c r="F62" s="36" t="n">
        <v>-68.904</v>
      </c>
      <c r="G62" s="36" t="n">
        <v/>
      </c>
      <c r="H62" s="36" t="n">
        <v/>
      </c>
      <c r="I62" s="36" t="n">
        <v>543.9160000000001</v>
      </c>
      <c r="J62" s="36" t="n">
        <v/>
      </c>
      <c r="K62" s="36" t="n">
        <v>-7.363</v>
      </c>
      <c r="L62" s="36" t="n">
        <v/>
      </c>
      <c r="M62" s="36" t="n">
        <v>0</v>
      </c>
      <c r="N62" s="36" t="n">
        <v/>
      </c>
      <c r="O62" s="36" t="n">
        <v/>
      </c>
      <c r="P62" s="36" t="n">
        <v/>
      </c>
      <c r="Q62" s="36" t="n">
        <v>99.79300000000001</v>
      </c>
      <c r="R62" s="36" t="n">
        <v>35849.684</v>
      </c>
      <c r="S62" s="36" t="n">
        <v>21006.299</v>
      </c>
      <c r="T62" s="36" t="n">
        <v>14843.385</v>
      </c>
      <c r="U62" s="36" t="n">
        <v>-120.905</v>
      </c>
      <c r="V62" s="36" t="n">
        <v>-120.904</v>
      </c>
      <c r="W62" s="36" t="n">
        <v>0.001</v>
      </c>
    </row>
    <row r="63">
      <c r="A63" s="37" t="inlineStr">
        <is>
          <t>1999-11</t>
        </is>
      </c>
      <c r="B63" s="37" t="n">
        <v>1999</v>
      </c>
      <c r="C63" s="37" t="n">
        <v>11</v>
      </c>
      <c r="D63" s="38" t="n">
        <v>607.33</v>
      </c>
      <c r="E63" s="38" t="n">
        <v>-823.264</v>
      </c>
      <c r="F63" s="38" t="n">
        <v>1201.277</v>
      </c>
      <c r="G63" s="38" t="n">
        <v/>
      </c>
      <c r="H63" s="38" t="n">
        <v/>
      </c>
      <c r="I63" s="38" t="n">
        <v>484.989</v>
      </c>
      <c r="J63" s="38" t="n">
        <v/>
      </c>
      <c r="K63" s="38" t="n">
        <v>-7.465</v>
      </c>
      <c r="L63" s="38" t="n">
        <v/>
      </c>
      <c r="M63" s="38" t="n">
        <v>0</v>
      </c>
      <c r="N63" s="38" t="n">
        <v/>
      </c>
      <c r="O63" s="38" t="n">
        <v/>
      </c>
      <c r="P63" s="38" t="n">
        <v/>
      </c>
      <c r="Q63" s="38" t="n">
        <v>24.85</v>
      </c>
      <c r="R63" s="38" t="n">
        <v>37337.401</v>
      </c>
      <c r="S63" s="38" t="n">
        <v>21624.912</v>
      </c>
      <c r="T63" s="38" t="n">
        <v>15712.489</v>
      </c>
      <c r="U63" s="38" t="n">
        <v>1487.717</v>
      </c>
      <c r="V63" s="38" t="n">
        <v>1487.717</v>
      </c>
      <c r="W63" s="38" t="n">
        <v>0</v>
      </c>
    </row>
    <row r="64">
      <c r="A64" s="35" t="inlineStr">
        <is>
          <t>1999-12</t>
        </is>
      </c>
      <c r="B64" s="35" t="n">
        <v>1999</v>
      </c>
      <c r="C64" s="35" t="n">
        <v>12</v>
      </c>
      <c r="D64" s="36" t="n">
        <v>221.121</v>
      </c>
      <c r="E64" s="36" t="n">
        <v>-2758.67</v>
      </c>
      <c r="F64" s="36" t="n">
        <v>13671.946</v>
      </c>
      <c r="G64" s="36" t="n">
        <v/>
      </c>
      <c r="H64" s="36" t="n">
        <v/>
      </c>
      <c r="I64" s="36" t="n">
        <v>8.346</v>
      </c>
      <c r="J64" s="36" t="n">
        <v/>
      </c>
      <c r="K64" s="36" t="n">
        <v>-15.259</v>
      </c>
      <c r="L64" s="36" t="n">
        <v/>
      </c>
      <c r="M64" s="36" t="n">
        <v>0</v>
      </c>
      <c r="N64" s="36" t="n">
        <v/>
      </c>
      <c r="O64" s="36" t="n">
        <v/>
      </c>
      <c r="P64" s="36" t="n">
        <v/>
      </c>
      <c r="Q64" s="36" t="n">
        <v>-34.728</v>
      </c>
      <c r="R64" s="36" t="n">
        <v>48430.157</v>
      </c>
      <c r="S64" s="36" t="n">
        <v>29837.941</v>
      </c>
      <c r="T64" s="36" t="n">
        <v>18592.216</v>
      </c>
      <c r="U64" s="36" t="n">
        <v>11092.756</v>
      </c>
      <c r="V64" s="36" t="n">
        <v>11092.756</v>
      </c>
      <c r="W64" s="36" t="n">
        <v>0</v>
      </c>
    </row>
    <row r="65">
      <c r="A65" s="37" t="inlineStr">
        <is>
          <t>2000-01</t>
        </is>
      </c>
      <c r="B65" s="37" t="n">
        <v>2000</v>
      </c>
      <c r="C65" s="37" t="n">
        <v>1</v>
      </c>
      <c r="D65" s="38" t="n">
        <v>2242.752</v>
      </c>
      <c r="E65" s="38" t="n">
        <v>2386.945</v>
      </c>
      <c r="F65" s="38" t="n">
        <v>-11252.609</v>
      </c>
      <c r="G65" s="38" t="n">
        <v/>
      </c>
      <c r="H65" s="38" t="n">
        <v/>
      </c>
      <c r="I65" s="38" t="n">
        <v>71.255</v>
      </c>
      <c r="J65" s="38" t="n">
        <v/>
      </c>
      <c r="K65" s="38" t="n">
        <v>0</v>
      </c>
      <c r="L65" s="38" t="n">
        <v/>
      </c>
      <c r="M65" s="38" t="n">
        <v>0</v>
      </c>
      <c r="N65" s="38" t="n">
        <v/>
      </c>
      <c r="O65" s="38" t="n">
        <v/>
      </c>
      <c r="P65" s="38" t="n">
        <v/>
      </c>
      <c r="Q65" s="38" t="n">
        <v>14.138</v>
      </c>
      <c r="R65" s="38" t="n">
        <v>41892.638</v>
      </c>
      <c r="S65" s="38" t="n">
        <v>24199.689</v>
      </c>
      <c r="T65" s="38" t="n">
        <v>17692.949</v>
      </c>
      <c r="U65" s="38" t="n">
        <v>-6537.519</v>
      </c>
      <c r="V65" s="38" t="n">
        <v>-6537.519</v>
      </c>
      <c r="W65" s="38" t="n">
        <v>0</v>
      </c>
    </row>
    <row r="66">
      <c r="A66" s="35" t="inlineStr">
        <is>
          <t>2000-02</t>
        </is>
      </c>
      <c r="B66" s="35" t="n">
        <v>2000</v>
      </c>
      <c r="C66" s="35" t="n">
        <v>2</v>
      </c>
      <c r="D66" s="36" t="n">
        <v>-1382.533</v>
      </c>
      <c r="E66" s="36" t="n">
        <v>69.01300000000001</v>
      </c>
      <c r="F66" s="36" t="n">
        <v>1378.38</v>
      </c>
      <c r="G66" s="36" t="n">
        <v/>
      </c>
      <c r="H66" s="36" t="n">
        <v/>
      </c>
      <c r="I66" s="36" t="n">
        <v>42.49</v>
      </c>
      <c r="J66" s="36" t="n">
        <v/>
      </c>
      <c r="K66" s="36" t="n">
        <v/>
      </c>
      <c r="L66" s="36" t="n">
        <v/>
      </c>
      <c r="M66" s="36" t="n">
        <v>0</v>
      </c>
      <c r="N66" s="36" t="n">
        <v/>
      </c>
      <c r="O66" s="36" t="n">
        <v/>
      </c>
      <c r="P66" s="36" t="n">
        <v/>
      </c>
      <c r="Q66" s="36" t="n">
        <v>-71.739</v>
      </c>
      <c r="R66" s="36" t="n">
        <v>41920.442</v>
      </c>
      <c r="S66" s="36" t="n">
        <v>23068.674</v>
      </c>
      <c r="T66" s="36" t="n">
        <v>18851.768</v>
      </c>
      <c r="U66" s="36" t="n">
        <v>27.804</v>
      </c>
      <c r="V66" s="36" t="n">
        <v>35.611</v>
      </c>
      <c r="W66" s="36" t="n">
        <v>7.807</v>
      </c>
    </row>
    <row r="67">
      <c r="A67" s="37" t="inlineStr">
        <is>
          <t>2000-03</t>
        </is>
      </c>
      <c r="B67" s="37" t="n">
        <v>2000</v>
      </c>
      <c r="C67" s="37" t="n">
        <v>3</v>
      </c>
      <c r="D67" s="38" t="n">
        <v>-3287.886</v>
      </c>
      <c r="E67" s="38" t="n">
        <v>37.948</v>
      </c>
      <c r="F67" s="38" t="n">
        <v>483.039</v>
      </c>
      <c r="G67" s="38" t="n">
        <v/>
      </c>
      <c r="H67" s="38" t="n">
        <v/>
      </c>
      <c r="I67" s="38" t="n">
        <v>84.419</v>
      </c>
      <c r="J67" s="38" t="n">
        <v/>
      </c>
      <c r="K67" s="38" t="n">
        <v/>
      </c>
      <c r="L67" s="38" t="n">
        <v/>
      </c>
      <c r="M67" s="38" t="n">
        <v>0</v>
      </c>
      <c r="N67" s="38" t="n">
        <v>-15.945</v>
      </c>
      <c r="O67" s="38" t="n">
        <v/>
      </c>
      <c r="P67" s="38" t="n">
        <v/>
      </c>
      <c r="Q67" s="38" t="n">
        <v>-128.51</v>
      </c>
      <c r="R67" s="38" t="n">
        <v>39093.507</v>
      </c>
      <c r="S67" s="38" t="n">
        <v>22732.484</v>
      </c>
      <c r="T67" s="38" t="n">
        <v>16361.023</v>
      </c>
      <c r="U67" s="38" t="n">
        <v>-2826.935</v>
      </c>
      <c r="V67" s="38" t="n">
        <v>-2826.935</v>
      </c>
      <c r="W67" s="38" t="n">
        <v>0</v>
      </c>
    </row>
    <row r="68">
      <c r="A68" s="35" t="inlineStr">
        <is>
          <t>2000-04</t>
        </is>
      </c>
      <c r="B68" s="35" t="n">
        <v>2000</v>
      </c>
      <c r="C68" s="35" t="n">
        <v>4</v>
      </c>
      <c r="D68" s="36" t="n">
        <v>-3704.08</v>
      </c>
      <c r="E68" s="36" t="n">
        <v>-13.055</v>
      </c>
      <c r="F68" s="36" t="n">
        <v>2159.262</v>
      </c>
      <c r="G68" s="36" t="n">
        <v/>
      </c>
      <c r="H68" s="36" t="n">
        <v/>
      </c>
      <c r="I68" s="36" t="n">
        <v>296.675</v>
      </c>
      <c r="J68" s="36" t="n">
        <v/>
      </c>
      <c r="K68" s="36" t="n">
        <v/>
      </c>
      <c r="L68" s="36" t="n">
        <v/>
      </c>
      <c r="M68" s="36" t="n">
        <v>0</v>
      </c>
      <c r="N68" s="36" t="n">
        <v>0</v>
      </c>
      <c r="O68" s="36" t="n">
        <v/>
      </c>
      <c r="P68" s="36" t="n">
        <v/>
      </c>
      <c r="Q68" s="36" t="n">
        <v>-111.435</v>
      </c>
      <c r="R68" s="36" t="n">
        <v>37720.874</v>
      </c>
      <c r="S68" s="36" t="n">
        <v>23279.829</v>
      </c>
      <c r="T68" s="36" t="n">
        <v>14441.045</v>
      </c>
      <c r="U68" s="36" t="n">
        <v>-1372.633</v>
      </c>
      <c r="V68" s="36" t="n">
        <v>-1372.633</v>
      </c>
      <c r="W68" s="36" t="n">
        <v>0</v>
      </c>
    </row>
    <row r="69">
      <c r="A69" s="37" t="inlineStr">
        <is>
          <t>2000-05</t>
        </is>
      </c>
      <c r="B69" s="37" t="n">
        <v>2000</v>
      </c>
      <c r="C69" s="37" t="n">
        <v>5</v>
      </c>
      <c r="D69" s="38" t="n">
        <v>-2013.688</v>
      </c>
      <c r="E69" s="38" t="n">
        <v>-1.004</v>
      </c>
      <c r="F69" s="38" t="n">
        <v>-49.894</v>
      </c>
      <c r="G69" s="38" t="n">
        <v/>
      </c>
      <c r="H69" s="38" t="n">
        <v/>
      </c>
      <c r="I69" s="38" t="n">
        <v>263.008</v>
      </c>
      <c r="J69" s="38" t="n">
        <v/>
      </c>
      <c r="K69" s="38" t="n">
        <v/>
      </c>
      <c r="L69" s="38" t="n">
        <v/>
      </c>
      <c r="M69" s="38" t="n">
        <v>0</v>
      </c>
      <c r="N69" s="38" t="n">
        <v>-8.134</v>
      </c>
      <c r="O69" s="38" t="n">
        <v/>
      </c>
      <c r="P69" s="38" t="n">
        <v/>
      </c>
      <c r="Q69" s="38" t="n">
        <v>-35.331</v>
      </c>
      <c r="R69" s="38" t="n">
        <v>35875.831</v>
      </c>
      <c r="S69" s="38" t="n">
        <v>22470.333</v>
      </c>
      <c r="T69" s="38" t="n">
        <v>13405.498</v>
      </c>
      <c r="U69" s="38" t="n">
        <v>-1845.043</v>
      </c>
      <c r="V69" s="38" t="n">
        <v>-1845.043</v>
      </c>
      <c r="W69" s="38" t="n">
        <v>0</v>
      </c>
    </row>
    <row r="70">
      <c r="A70" s="35" t="inlineStr">
        <is>
          <t>2000-06</t>
        </is>
      </c>
      <c r="B70" s="35" t="n">
        <v>2000</v>
      </c>
      <c r="C70" s="35" t="n">
        <v>6</v>
      </c>
      <c r="D70" s="36" t="n">
        <v>-2145.842</v>
      </c>
      <c r="E70" s="36" t="n">
        <v>12.364</v>
      </c>
      <c r="F70" s="36" t="n">
        <v>-1239.483</v>
      </c>
      <c r="G70" s="36" t="n">
        <v/>
      </c>
      <c r="H70" s="36" t="n">
        <v/>
      </c>
      <c r="I70" s="36" t="n">
        <v>-21.996</v>
      </c>
      <c r="J70" s="36" t="n">
        <v/>
      </c>
      <c r="K70" s="36" t="n">
        <v/>
      </c>
      <c r="L70" s="36" t="n">
        <v/>
      </c>
      <c r="M70" s="36" t="n">
        <v>-22.603</v>
      </c>
      <c r="N70" s="36" t="n">
        <v>-16.626</v>
      </c>
      <c r="O70" s="36" t="n">
        <v/>
      </c>
      <c r="P70" s="36" t="n">
        <v/>
      </c>
      <c r="Q70" s="36" t="n">
        <v>-125.428</v>
      </c>
      <c r="R70" s="36" t="n">
        <v>32316.217</v>
      </c>
      <c r="S70" s="36" t="n">
        <v>23226.893</v>
      </c>
      <c r="T70" s="36" t="n">
        <v>9089.324000000001</v>
      </c>
      <c r="U70" s="36" t="n">
        <v>-3559.614</v>
      </c>
      <c r="V70" s="36" t="n">
        <v>-3559.614</v>
      </c>
      <c r="W70" s="36" t="n">
        <v>0</v>
      </c>
    </row>
    <row r="71">
      <c r="A71" s="37" t="inlineStr">
        <is>
          <t>2000-07</t>
        </is>
      </c>
      <c r="B71" s="37" t="n">
        <v>2000</v>
      </c>
      <c r="C71" s="37" t="n">
        <v>7</v>
      </c>
      <c r="D71" s="38" t="n">
        <v>1229.336</v>
      </c>
      <c r="E71" s="38" t="n">
        <v>-2.574</v>
      </c>
      <c r="F71" s="38" t="n">
        <v>3091.682</v>
      </c>
      <c r="G71" s="38" t="n">
        <v/>
      </c>
      <c r="H71" s="38" t="n">
        <v/>
      </c>
      <c r="I71" s="38" t="n">
        <v>-185.7</v>
      </c>
      <c r="J71" s="38" t="n">
        <v/>
      </c>
      <c r="K71" s="38" t="n">
        <v/>
      </c>
      <c r="L71" s="38" t="n">
        <v/>
      </c>
      <c r="M71" s="38" t="n">
        <v/>
      </c>
      <c r="N71" s="38" t="n">
        <v>0</v>
      </c>
      <c r="O71" s="38" t="n">
        <v/>
      </c>
      <c r="P71" s="38" t="n">
        <v/>
      </c>
      <c r="Q71" s="38" t="n">
        <v>3.202</v>
      </c>
      <c r="R71" s="38" t="n">
        <v>36452.164</v>
      </c>
      <c r="S71" s="38" t="n">
        <v>23556.236</v>
      </c>
      <c r="T71" s="38" t="n">
        <v>12895.928</v>
      </c>
      <c r="U71" s="38" t="n">
        <v>4135.947</v>
      </c>
      <c r="V71" s="38" t="n">
        <v>4135.946</v>
      </c>
      <c r="W71" s="38" t="n">
        <v>-0.001</v>
      </c>
    </row>
    <row r="72">
      <c r="A72" s="35" t="inlineStr">
        <is>
          <t>2000-08</t>
        </is>
      </c>
      <c r="B72" s="35" t="n">
        <v>2000</v>
      </c>
      <c r="C72" s="35" t="n">
        <v>8</v>
      </c>
      <c r="D72" s="36" t="n">
        <v>-5710.093</v>
      </c>
      <c r="E72" s="36" t="n">
        <v>19.242</v>
      </c>
      <c r="F72" s="36" t="n">
        <v>8586.421</v>
      </c>
      <c r="G72" s="36" t="n">
        <v/>
      </c>
      <c r="H72" s="36" t="n">
        <v/>
      </c>
      <c r="I72" s="36" t="n">
        <v>-110.137</v>
      </c>
      <c r="J72" s="36" t="n">
        <v/>
      </c>
      <c r="K72" s="36" t="n">
        <v/>
      </c>
      <c r="L72" s="36" t="n">
        <v/>
      </c>
      <c r="M72" s="36" t="n">
        <v/>
      </c>
      <c r="N72" s="36" t="n">
        <v>-8.484999999999999</v>
      </c>
      <c r="O72" s="36" t="n">
        <v/>
      </c>
      <c r="P72" s="36" t="n">
        <v/>
      </c>
      <c r="Q72" s="36" t="n">
        <v>-106.961</v>
      </c>
      <c r="R72" s="36" t="n">
        <v>39122.151</v>
      </c>
      <c r="S72" s="36" t="n">
        <v>23493.551</v>
      </c>
      <c r="T72" s="36" t="n">
        <v>15628.6</v>
      </c>
      <c r="U72" s="36" t="n">
        <v>2669.987</v>
      </c>
      <c r="V72" s="36" t="n">
        <v>2669.987</v>
      </c>
      <c r="W72" s="36" t="n">
        <v>0</v>
      </c>
    </row>
    <row r="73">
      <c r="A73" s="37" t="inlineStr">
        <is>
          <t>2000-09</t>
        </is>
      </c>
      <c r="B73" s="37" t="n">
        <v>2000</v>
      </c>
      <c r="C73" s="37" t="n">
        <v>9</v>
      </c>
      <c r="D73" s="38" t="n">
        <v>-2743.958</v>
      </c>
      <c r="E73" s="38" t="n">
        <v>-5.865</v>
      </c>
      <c r="F73" s="38" t="n">
        <v>1145.102</v>
      </c>
      <c r="G73" s="38" t="n">
        <v/>
      </c>
      <c r="H73" s="38" t="n">
        <v/>
      </c>
      <c r="I73" s="38" t="n">
        <v>181.943</v>
      </c>
      <c r="J73" s="38" t="n">
        <v/>
      </c>
      <c r="K73" s="38" t="n">
        <v/>
      </c>
      <c r="L73" s="38" t="n">
        <v/>
      </c>
      <c r="M73" s="38" t="n">
        <v/>
      </c>
      <c r="N73" s="38" t="n">
        <v>-8.599</v>
      </c>
      <c r="O73" s="38" t="n">
        <v/>
      </c>
      <c r="P73" s="38" t="n">
        <v/>
      </c>
      <c r="Q73" s="38" t="n">
        <v>-169.601</v>
      </c>
      <c r="R73" s="38" t="n">
        <v>37521.173</v>
      </c>
      <c r="S73" s="38" t="n">
        <v>24798.317</v>
      </c>
      <c r="T73" s="38" t="n">
        <v>12722.856</v>
      </c>
      <c r="U73" s="38" t="n">
        <v>-1600.978</v>
      </c>
      <c r="V73" s="38" t="n">
        <v>-1600.978</v>
      </c>
      <c r="W73" s="38" t="n">
        <v>0</v>
      </c>
    </row>
    <row r="74">
      <c r="A74" s="35" t="inlineStr">
        <is>
          <t>2000-10</t>
        </is>
      </c>
      <c r="B74" s="35" t="n">
        <v>2000</v>
      </c>
      <c r="C74" s="35" t="n">
        <v>10</v>
      </c>
      <c r="D74" s="36" t="n">
        <v>714.399</v>
      </c>
      <c r="E74" s="36" t="n">
        <v>5.22</v>
      </c>
      <c r="F74" s="36" t="n">
        <v>-99.113</v>
      </c>
      <c r="G74" s="36" t="n">
        <v/>
      </c>
      <c r="H74" s="36" t="n">
        <v/>
      </c>
      <c r="I74" s="36" t="n">
        <v>590.319</v>
      </c>
      <c r="J74" s="36" t="n">
        <v/>
      </c>
      <c r="K74" s="36" t="n">
        <v/>
      </c>
      <c r="L74" s="36" t="n">
        <v/>
      </c>
      <c r="M74" s="36" t="n">
        <v/>
      </c>
      <c r="N74" s="36" t="n">
        <v>-37.62</v>
      </c>
      <c r="O74" s="36" t="n">
        <v/>
      </c>
      <c r="P74" s="36" t="n">
        <v/>
      </c>
      <c r="Q74" s="36" t="n">
        <v>-58.1</v>
      </c>
      <c r="R74" s="36" t="n">
        <v>38636.085</v>
      </c>
      <c r="S74" s="36" t="n">
        <v>24265.86</v>
      </c>
      <c r="T74" s="36" t="n">
        <v>14370.225</v>
      </c>
      <c r="U74" s="36" t="n">
        <v>1114.912</v>
      </c>
      <c r="V74" s="36" t="n">
        <v>1115.105</v>
      </c>
      <c r="W74" s="36" t="n">
        <v>0.193</v>
      </c>
    </row>
    <row r="75">
      <c r="A75" s="37" t="inlineStr">
        <is>
          <t>2000-11</t>
        </is>
      </c>
      <c r="B75" s="37" t="n">
        <v>2000</v>
      </c>
      <c r="C75" s="37" t="n">
        <v>11</v>
      </c>
      <c r="D75" s="38" t="n">
        <v>-9647.370999999999</v>
      </c>
      <c r="E75" s="38" t="n">
        <v>3836.312</v>
      </c>
      <c r="F75" s="38" t="n">
        <v>8101.433</v>
      </c>
      <c r="G75" s="38" t="n">
        <v/>
      </c>
      <c r="H75" s="38" t="n">
        <v/>
      </c>
      <c r="I75" s="38" t="n">
        <v>393.735</v>
      </c>
      <c r="J75" s="38" t="n">
        <v/>
      </c>
      <c r="K75" s="38" t="n">
        <v/>
      </c>
      <c r="L75" s="38" t="n">
        <v/>
      </c>
      <c r="M75" s="38" t="n">
        <v/>
      </c>
      <c r="N75" s="38" t="n">
        <v>-519.562</v>
      </c>
      <c r="O75" s="38" t="n">
        <v/>
      </c>
      <c r="P75" s="38" t="n">
        <v/>
      </c>
      <c r="Q75" s="38" t="n">
        <v>-69.75</v>
      </c>
      <c r="R75" s="38" t="n">
        <v>40730.882</v>
      </c>
      <c r="S75" s="38" t="n">
        <v>25540.755</v>
      </c>
      <c r="T75" s="38" t="n">
        <v>15190.127</v>
      </c>
      <c r="U75" s="38" t="n">
        <v>2094.797</v>
      </c>
      <c r="V75" s="38" t="n">
        <v>2094.797</v>
      </c>
      <c r="W75" s="38" t="n">
        <v>0</v>
      </c>
    </row>
    <row r="76">
      <c r="A76" s="35" t="inlineStr">
        <is>
          <t>2000-12</t>
        </is>
      </c>
      <c r="B76" s="35" t="n">
        <v>2000</v>
      </c>
      <c r="C76" s="35" t="n">
        <v>12</v>
      </c>
      <c r="D76" s="36" t="n">
        <v>-90.184</v>
      </c>
      <c r="E76" s="36" t="n">
        <v>-1941.905</v>
      </c>
      <c r="F76" s="36" t="n">
        <v>9094.619000000001</v>
      </c>
      <c r="G76" s="36" t="n">
        <v/>
      </c>
      <c r="H76" s="36" t="n">
        <v/>
      </c>
      <c r="I76" s="36" t="n">
        <v>-127.452</v>
      </c>
      <c r="J76" s="36" t="n">
        <v/>
      </c>
      <c r="K76" s="36" t="n">
        <v/>
      </c>
      <c r="L76" s="36" t="n">
        <v/>
      </c>
      <c r="M76" s="36" t="n">
        <v/>
      </c>
      <c r="N76" s="36" t="n">
        <v>0</v>
      </c>
      <c r="O76" s="36" t="n">
        <v/>
      </c>
      <c r="P76" s="36" t="n">
        <v/>
      </c>
      <c r="Q76" s="36" t="n">
        <v>20.253</v>
      </c>
      <c r="R76" s="36" t="n">
        <v>47686.213</v>
      </c>
      <c r="S76" s="36" t="n">
        <v>32633.056</v>
      </c>
      <c r="T76" s="36" t="n">
        <v>15053.157</v>
      </c>
      <c r="U76" s="36" t="n">
        <v>6955.331</v>
      </c>
      <c r="V76" s="36" t="n">
        <v>6955.331</v>
      </c>
      <c r="W76" s="36" t="n">
        <v>0</v>
      </c>
    </row>
    <row r="77">
      <c r="A77" s="37" t="inlineStr">
        <is>
          <t>2001-01</t>
        </is>
      </c>
      <c r="B77" s="37" t="n">
        <v>2001</v>
      </c>
      <c r="C77" s="37" t="n">
        <v>1</v>
      </c>
      <c r="D77" s="38" t="n">
        <v>4586.623</v>
      </c>
      <c r="E77" s="38" t="n">
        <v>1960.741</v>
      </c>
      <c r="F77" s="38" t="n">
        <v>-11417.274</v>
      </c>
      <c r="G77" s="38" t="n">
        <v/>
      </c>
      <c r="H77" s="38" t="n">
        <v/>
      </c>
      <c r="I77" s="38" t="n">
        <v>-217.089</v>
      </c>
      <c r="J77" s="38" t="n">
        <v/>
      </c>
      <c r="K77" s="38" t="n">
        <v/>
      </c>
      <c r="L77" s="38" t="n">
        <v/>
      </c>
      <c r="M77" s="38" t="n">
        <v/>
      </c>
      <c r="N77" s="38" t="n">
        <v>0</v>
      </c>
      <c r="O77" s="38" t="n">
        <v/>
      </c>
      <c r="P77" s="38" t="n">
        <v/>
      </c>
      <c r="Q77" s="38" t="n">
        <v>-235.394</v>
      </c>
      <c r="R77" s="38" t="n">
        <v>42363.82</v>
      </c>
      <c r="S77" s="38" t="n">
        <v>27419.363</v>
      </c>
      <c r="T77" s="38" t="n">
        <v>14944.457</v>
      </c>
      <c r="U77" s="38" t="n">
        <v>-5322.393</v>
      </c>
      <c r="V77" s="38" t="n">
        <v>-5322.393</v>
      </c>
      <c r="W77" s="38" t="n">
        <v>0</v>
      </c>
    </row>
    <row r="78">
      <c r="A78" s="35" t="inlineStr">
        <is>
          <t>2001-02</t>
        </is>
      </c>
      <c r="B78" s="35" t="n">
        <v>2001</v>
      </c>
      <c r="C78" s="35" t="n">
        <v>2</v>
      </c>
      <c r="D78" s="36" t="n">
        <v>-3090.982</v>
      </c>
      <c r="E78" s="36" t="n">
        <v>1.834</v>
      </c>
      <c r="F78" s="36" t="n">
        <v>8639.454</v>
      </c>
      <c r="G78" s="36" t="n">
        <v/>
      </c>
      <c r="H78" s="36" t="n">
        <v/>
      </c>
      <c r="I78" s="36" t="n">
        <v>67.744</v>
      </c>
      <c r="J78" s="36" t="n">
        <v/>
      </c>
      <c r="K78" s="36" t="n">
        <v/>
      </c>
      <c r="L78" s="36" t="n">
        <v/>
      </c>
      <c r="M78" s="36" t="n">
        <v/>
      </c>
      <c r="N78" s="36" t="n">
        <v>0</v>
      </c>
      <c r="O78" s="36" t="n">
        <v/>
      </c>
      <c r="P78" s="36" t="n">
        <v/>
      </c>
      <c r="Q78" s="36" t="n">
        <v>-90.67400000000001</v>
      </c>
      <c r="R78" s="36" t="n">
        <v>47891.196</v>
      </c>
      <c r="S78" s="36" t="n">
        <v>28152.323</v>
      </c>
      <c r="T78" s="36" t="n">
        <v>19738.873</v>
      </c>
      <c r="U78" s="36" t="n">
        <v>5527.376</v>
      </c>
      <c r="V78" s="36" t="n">
        <v>5527.376</v>
      </c>
      <c r="W78" s="36" t="n">
        <v>0</v>
      </c>
    </row>
    <row r="79">
      <c r="A79" s="37" t="inlineStr">
        <is>
          <t>2001-03</t>
        </is>
      </c>
      <c r="B79" s="37" t="n">
        <v>2001</v>
      </c>
      <c r="C79" s="37" t="n">
        <v>3</v>
      </c>
      <c r="D79" s="38" t="n">
        <v>-2641.081</v>
      </c>
      <c r="E79" s="38" t="n">
        <v>-667.826</v>
      </c>
      <c r="F79" s="38" t="n">
        <v>-3197.972</v>
      </c>
      <c r="G79" s="38" t="n">
        <v/>
      </c>
      <c r="H79" s="38" t="n">
        <v/>
      </c>
      <c r="I79" s="38" t="n">
        <v>205.681</v>
      </c>
      <c r="J79" s="38" t="n">
        <v/>
      </c>
      <c r="K79" s="38" t="n">
        <v/>
      </c>
      <c r="L79" s="38" t="n">
        <v/>
      </c>
      <c r="M79" s="38" t="n">
        <v/>
      </c>
      <c r="N79" s="38" t="n">
        <v>0</v>
      </c>
      <c r="O79" s="38" t="n">
        <v/>
      </c>
      <c r="P79" s="38" t="n">
        <v/>
      </c>
      <c r="Q79" s="38" t="n">
        <v>-222.25</v>
      </c>
      <c r="R79" s="38" t="n">
        <v>41367.748</v>
      </c>
      <c r="S79" s="38" t="n">
        <v>26731.201</v>
      </c>
      <c r="T79" s="38" t="n">
        <v>14636.547</v>
      </c>
      <c r="U79" s="38" t="n">
        <v>-6523.448</v>
      </c>
      <c r="V79" s="38" t="n">
        <v>-6523.448</v>
      </c>
      <c r="W79" s="38" t="n">
        <v>0</v>
      </c>
    </row>
    <row r="80">
      <c r="A80" s="35" t="inlineStr">
        <is>
          <t>2001-04</t>
        </is>
      </c>
      <c r="B80" s="35" t="n">
        <v>2001</v>
      </c>
      <c r="C80" s="35" t="n">
        <v>4</v>
      </c>
      <c r="D80" s="36" t="n">
        <v>-5373.737</v>
      </c>
      <c r="E80" s="36" t="n">
        <v>11.094</v>
      </c>
      <c r="F80" s="36" t="n">
        <v>6282.474</v>
      </c>
      <c r="G80" s="36" t="n">
        <v/>
      </c>
      <c r="H80" s="36" t="n">
        <v/>
      </c>
      <c r="I80" s="36" t="n">
        <v>214.929</v>
      </c>
      <c r="J80" s="36" t="n">
        <v/>
      </c>
      <c r="K80" s="36" t="n">
        <v/>
      </c>
      <c r="L80" s="36" t="n">
        <v/>
      </c>
      <c r="M80" s="36" t="n">
        <v/>
      </c>
      <c r="N80" s="36" t="n">
        <v>0</v>
      </c>
      <c r="O80" s="36" t="n">
        <v/>
      </c>
      <c r="P80" s="36" t="n">
        <v/>
      </c>
      <c r="Q80" s="36" t="n">
        <v>-1591.604</v>
      </c>
      <c r="R80" s="36" t="n">
        <v>40910.723</v>
      </c>
      <c r="S80" s="36" t="n">
        <v>27054.05</v>
      </c>
      <c r="T80" s="36" t="n">
        <v>13856.673</v>
      </c>
      <c r="U80" s="36" t="n">
        <v>-457.025</v>
      </c>
      <c r="V80" s="36" t="n">
        <v>-456.844</v>
      </c>
      <c r="W80" s="36" t="n">
        <v>0.181</v>
      </c>
    </row>
    <row r="81">
      <c r="A81" s="37" t="inlineStr">
        <is>
          <t>2001-05</t>
        </is>
      </c>
      <c r="B81" s="37" t="n">
        <v>2001</v>
      </c>
      <c r="C81" s="37" t="n">
        <v>5</v>
      </c>
      <c r="D81" s="38" t="n">
        <v>-4919.508</v>
      </c>
      <c r="E81" s="38" t="n">
        <v>-553.92</v>
      </c>
      <c r="F81" s="38" t="n">
        <v>6360.071</v>
      </c>
      <c r="G81" s="38" t="n">
        <v/>
      </c>
      <c r="H81" s="38" t="n">
        <v/>
      </c>
      <c r="I81" s="38" t="n">
        <v>-7.896</v>
      </c>
      <c r="J81" s="38" t="n">
        <v/>
      </c>
      <c r="K81" s="38" t="n">
        <v/>
      </c>
      <c r="L81" s="38" t="n">
        <v/>
      </c>
      <c r="M81" s="38" t="n">
        <v/>
      </c>
      <c r="N81" s="38" t="n">
        <v>0</v>
      </c>
      <c r="O81" s="38" t="n">
        <v/>
      </c>
      <c r="P81" s="38" t="n">
        <v/>
      </c>
      <c r="Q81" s="38" t="n">
        <v>-336.703</v>
      </c>
      <c r="R81" s="38" t="n">
        <v>41452.767</v>
      </c>
      <c r="S81" s="38" t="n">
        <v>26844.819</v>
      </c>
      <c r="T81" s="38" t="n">
        <v>14607.948</v>
      </c>
      <c r="U81" s="38" t="n">
        <v>542.044</v>
      </c>
      <c r="V81" s="38" t="n">
        <v>542.044</v>
      </c>
      <c r="W81" s="38" t="n">
        <v>0</v>
      </c>
    </row>
    <row r="82">
      <c r="A82" s="35" t="inlineStr">
        <is>
          <t>2001-06</t>
        </is>
      </c>
      <c r="B82" s="35" t="n">
        <v>2001</v>
      </c>
      <c r="C82" s="35" t="n">
        <v>6</v>
      </c>
      <c r="D82" s="36" t="n">
        <v>-328.854</v>
      </c>
      <c r="E82" s="36" t="n">
        <v>-3149.856</v>
      </c>
      <c r="F82" s="36" t="n">
        <v>4304.969</v>
      </c>
      <c r="G82" s="36" t="n">
        <v/>
      </c>
      <c r="H82" s="36" t="n">
        <v/>
      </c>
      <c r="I82" s="36" t="n">
        <v>-253.013</v>
      </c>
      <c r="J82" s="36" t="n">
        <v/>
      </c>
      <c r="K82" s="36" t="n">
        <v/>
      </c>
      <c r="L82" s="36" t="n">
        <v/>
      </c>
      <c r="M82" s="36" t="n">
        <v/>
      </c>
      <c r="N82" s="36" t="n">
        <v>0</v>
      </c>
      <c r="O82" s="36" t="n">
        <v/>
      </c>
      <c r="P82" s="36" t="n">
        <v/>
      </c>
      <c r="Q82" s="36" t="n">
        <v>-51.957</v>
      </c>
      <c r="R82" s="36" t="n">
        <v>41974.056</v>
      </c>
      <c r="S82" s="36" t="n">
        <v>27749.549</v>
      </c>
      <c r="T82" s="36" t="n">
        <v>14224.507</v>
      </c>
      <c r="U82" s="36" t="n">
        <v>521.289</v>
      </c>
      <c r="V82" s="36" t="n">
        <v>521.289</v>
      </c>
      <c r="W82" s="36" t="n">
        <v>0</v>
      </c>
    </row>
    <row r="83">
      <c r="A83" s="37" t="inlineStr">
        <is>
          <t>2001-07</t>
        </is>
      </c>
      <c r="B83" s="37" t="n">
        <v>2001</v>
      </c>
      <c r="C83" s="37" t="n">
        <v>7</v>
      </c>
      <c r="D83" s="38" t="n">
        <v>2029.421</v>
      </c>
      <c r="E83" s="38" t="n">
        <v>-2370.383</v>
      </c>
      <c r="F83" s="38" t="n">
        <v>422.697</v>
      </c>
      <c r="G83" s="38" t="n">
        <v/>
      </c>
      <c r="H83" s="38" t="n">
        <v/>
      </c>
      <c r="I83" s="38" t="n">
        <v>-276.844</v>
      </c>
      <c r="J83" s="38" t="n">
        <v/>
      </c>
      <c r="K83" s="38" t="n">
        <v/>
      </c>
      <c r="L83" s="38" t="n">
        <v/>
      </c>
      <c r="M83" s="38" t="n">
        <v/>
      </c>
      <c r="N83" s="38" t="n">
        <v>0</v>
      </c>
      <c r="O83" s="38" t="n">
        <v/>
      </c>
      <c r="P83" s="38" t="n">
        <v/>
      </c>
      <c r="Q83" s="38" t="n">
        <v>-184.802</v>
      </c>
      <c r="R83" s="38" t="n">
        <v>41594.145</v>
      </c>
      <c r="S83" s="38" t="n">
        <v>27685.495</v>
      </c>
      <c r="T83" s="38" t="n">
        <v>13908.65</v>
      </c>
      <c r="U83" s="38" t="n">
        <v>-379.911</v>
      </c>
      <c r="V83" s="38" t="n">
        <v>-379.911</v>
      </c>
      <c r="W83" s="38" t="n">
        <v>0</v>
      </c>
    </row>
    <row r="84">
      <c r="A84" s="35" t="inlineStr">
        <is>
          <t>2001-08</t>
        </is>
      </c>
      <c r="B84" s="35" t="n">
        <v>2001</v>
      </c>
      <c r="C84" s="35" t="n">
        <v>8</v>
      </c>
      <c r="D84" s="36" t="n">
        <v>-6007.58</v>
      </c>
      <c r="E84" s="36" t="n">
        <v>-2885.735</v>
      </c>
      <c r="F84" s="36" t="n">
        <v>10209.791</v>
      </c>
      <c r="G84" s="36" t="n">
        <v/>
      </c>
      <c r="H84" s="36" t="n">
        <v/>
      </c>
      <c r="I84" s="36" t="n">
        <v>-158.546</v>
      </c>
      <c r="J84" s="36" t="n">
        <v/>
      </c>
      <c r="K84" s="36" t="n">
        <v/>
      </c>
      <c r="L84" s="36" t="n">
        <v/>
      </c>
      <c r="M84" s="36" t="n">
        <v/>
      </c>
      <c r="N84" s="36" t="n">
        <v>0</v>
      </c>
      <c r="O84" s="36" t="n">
        <v/>
      </c>
      <c r="P84" s="36" t="n">
        <v/>
      </c>
      <c r="Q84" s="36" t="n">
        <v>-122.966</v>
      </c>
      <c r="R84" s="36" t="n">
        <v>42629.109</v>
      </c>
      <c r="S84" s="36" t="n">
        <v>28004.843</v>
      </c>
      <c r="T84" s="36" t="n">
        <v>14624.266</v>
      </c>
      <c r="U84" s="36" t="n">
        <v>1034.964</v>
      </c>
      <c r="V84" s="36" t="n">
        <v>1034.964</v>
      </c>
      <c r="W84" s="36" t="n">
        <v>0</v>
      </c>
    </row>
    <row r="85">
      <c r="A85" s="37" t="inlineStr">
        <is>
          <t>2001-09</t>
        </is>
      </c>
      <c r="B85" s="37" t="n">
        <v>2001</v>
      </c>
      <c r="C85" s="37" t="n">
        <v>9</v>
      </c>
      <c r="D85" s="38" t="n">
        <v>-2085.48</v>
      </c>
      <c r="E85" s="38" t="n">
        <v>-3129.985</v>
      </c>
      <c r="F85" s="38" t="n">
        <v>8762.855</v>
      </c>
      <c r="G85" s="38" t="n">
        <v/>
      </c>
      <c r="H85" s="38" t="n">
        <v/>
      </c>
      <c r="I85" s="38" t="n">
        <v>-471.967</v>
      </c>
      <c r="J85" s="38" t="n">
        <v/>
      </c>
      <c r="K85" s="38" t="n">
        <v/>
      </c>
      <c r="L85" s="38" t="n">
        <v/>
      </c>
      <c r="M85" s="38" t="n">
        <v/>
      </c>
      <c r="N85" s="38" t="n">
        <v>0</v>
      </c>
      <c r="O85" s="38" t="n">
        <v/>
      </c>
      <c r="P85" s="38" t="n">
        <v/>
      </c>
      <c r="Q85" s="38" t="n">
        <v>-222.52</v>
      </c>
      <c r="R85" s="38" t="n">
        <v>45482.012</v>
      </c>
      <c r="S85" s="38" t="n">
        <v>28812.161</v>
      </c>
      <c r="T85" s="38" t="n">
        <v>16669.851</v>
      </c>
      <c r="U85" s="38" t="n">
        <v>2852.903</v>
      </c>
      <c r="V85" s="38" t="n">
        <v>2852.903</v>
      </c>
      <c r="W85" s="38" t="n">
        <v>0</v>
      </c>
    </row>
    <row r="86">
      <c r="A86" s="35" t="inlineStr">
        <is>
          <t>2001-10</t>
        </is>
      </c>
      <c r="B86" s="35" t="n">
        <v>2001</v>
      </c>
      <c r="C86" s="35" t="n">
        <v>10</v>
      </c>
      <c r="D86" s="36" t="n">
        <v>461.456</v>
      </c>
      <c r="E86" s="36" t="n">
        <v>-2998.965</v>
      </c>
      <c r="F86" s="36" t="n">
        <v>398.822</v>
      </c>
      <c r="G86" s="36" t="n">
        <v/>
      </c>
      <c r="H86" s="36" t="n">
        <v/>
      </c>
      <c r="I86" s="36" t="n">
        <v>-127.81</v>
      </c>
      <c r="J86" s="36" t="n">
        <v/>
      </c>
      <c r="K86" s="36" t="n">
        <v/>
      </c>
      <c r="L86" s="36" t="n">
        <v/>
      </c>
      <c r="M86" s="36" t="n">
        <v/>
      </c>
      <c r="N86" s="36" t="n">
        <v>0</v>
      </c>
      <c r="O86" s="36" t="n">
        <v/>
      </c>
      <c r="P86" s="36" t="n">
        <v/>
      </c>
      <c r="Q86" s="36" t="n">
        <v>-140.576</v>
      </c>
      <c r="R86" s="36" t="n">
        <v>43074.939</v>
      </c>
      <c r="S86" s="36" t="n">
        <v>28609.53</v>
      </c>
      <c r="T86" s="36" t="n">
        <v>14465.409</v>
      </c>
      <c r="U86" s="36" t="n">
        <v>-2407.073</v>
      </c>
      <c r="V86" s="36" t="n">
        <v>-2407.073</v>
      </c>
      <c r="W86" s="36" t="n">
        <v>0</v>
      </c>
    </row>
    <row r="87">
      <c r="A87" s="37" t="inlineStr">
        <is>
          <t>2001-11</t>
        </is>
      </c>
      <c r="B87" s="37" t="n">
        <v>2001</v>
      </c>
      <c r="C87" s="37" t="n">
        <v>11</v>
      </c>
      <c r="D87" s="38" t="n">
        <v>-2973.082</v>
      </c>
      <c r="E87" s="38" t="n">
        <v>-2557.054</v>
      </c>
      <c r="F87" s="38" t="n">
        <v>9015.848</v>
      </c>
      <c r="G87" s="38" t="n">
        <v/>
      </c>
      <c r="H87" s="38" t="n">
        <v/>
      </c>
      <c r="I87" s="38" t="n">
        <v>-167.998</v>
      </c>
      <c r="J87" s="38" t="n">
        <v/>
      </c>
      <c r="K87" s="38" t="n">
        <v/>
      </c>
      <c r="L87" s="38" t="n">
        <v/>
      </c>
      <c r="M87" s="38" t="n">
        <v/>
      </c>
      <c r="N87" s="38" t="n">
        <v>0</v>
      </c>
      <c r="O87" s="38" t="n">
        <v/>
      </c>
      <c r="P87" s="38" t="n">
        <v/>
      </c>
      <c r="Q87" s="38" t="n">
        <v>-158.538</v>
      </c>
      <c r="R87" s="38" t="n">
        <v>46234.267</v>
      </c>
      <c r="S87" s="38" t="n">
        <v>30066.738</v>
      </c>
      <c r="T87" s="38" t="n">
        <v>16167.529</v>
      </c>
      <c r="U87" s="38" t="n">
        <v>3159.328</v>
      </c>
      <c r="V87" s="38" t="n">
        <v>3159.176</v>
      </c>
      <c r="W87" s="38" t="n">
        <v>-0.152</v>
      </c>
    </row>
    <row r="88">
      <c r="A88" s="35" t="inlineStr">
        <is>
          <t>2001-12</t>
        </is>
      </c>
      <c r="B88" s="35" t="n">
        <v>2001</v>
      </c>
      <c r="C88" s="35" t="n">
        <v>12</v>
      </c>
      <c r="D88" s="36" t="n">
        <v>8397.878000000001</v>
      </c>
      <c r="E88" s="36" t="n">
        <v>-2232.312</v>
      </c>
      <c r="F88" s="36" t="n">
        <v>1536.537</v>
      </c>
      <c r="G88" s="36" t="n">
        <v/>
      </c>
      <c r="H88" s="36" t="n">
        <v/>
      </c>
      <c r="I88" s="36" t="n">
        <v>-614.102</v>
      </c>
      <c r="J88" s="36" t="n">
        <v/>
      </c>
      <c r="K88" s="36" t="n">
        <v/>
      </c>
      <c r="L88" s="36" t="n">
        <v/>
      </c>
      <c r="M88" s="36" t="n">
        <v/>
      </c>
      <c r="N88" s="36" t="n">
        <v>0</v>
      </c>
      <c r="O88" s="36" t="n">
        <v/>
      </c>
      <c r="P88" s="36" t="n">
        <v/>
      </c>
      <c r="Q88" s="36" t="n">
        <v>-66.297</v>
      </c>
      <c r="R88" s="36" t="n">
        <v>53255.971</v>
      </c>
      <c r="S88" s="36" t="n">
        <v>37668.836</v>
      </c>
      <c r="T88" s="36" t="n">
        <v>15587.135</v>
      </c>
      <c r="U88" s="36" t="n">
        <v>7021.704</v>
      </c>
      <c r="V88" s="36" t="n">
        <v>7021.704</v>
      </c>
      <c r="W88" s="36" t="n">
        <v>0</v>
      </c>
    </row>
    <row r="89">
      <c r="A89" s="37" t="inlineStr">
        <is>
          <t>2002-01</t>
        </is>
      </c>
      <c r="B89" s="37" t="n">
        <v>2002</v>
      </c>
      <c r="C89" s="37" t="n">
        <v>1</v>
      </c>
      <c r="D89" s="38" t="n">
        <v>776.817</v>
      </c>
      <c r="E89" s="38" t="n">
        <v>1.311</v>
      </c>
      <c r="F89" s="38" t="n">
        <v>-3646.31</v>
      </c>
      <c r="G89" s="38" t="n">
        <v/>
      </c>
      <c r="H89" s="38" t="n">
        <v/>
      </c>
      <c r="I89" s="38" t="n">
        <v>23.422</v>
      </c>
      <c r="J89" s="38" t="n">
        <v/>
      </c>
      <c r="K89" s="38" t="n">
        <v/>
      </c>
      <c r="L89" s="38" t="n">
        <v/>
      </c>
      <c r="M89" s="38" t="n">
        <v/>
      </c>
      <c r="N89" s="38" t="n">
        <v>0</v>
      </c>
      <c r="O89" s="38" t="n">
        <v/>
      </c>
      <c r="P89" s="38" t="n">
        <v/>
      </c>
      <c r="Q89" s="38" t="n">
        <v>-688.38</v>
      </c>
      <c r="R89" s="38" t="n">
        <v>49722.831</v>
      </c>
      <c r="S89" s="38" t="n">
        <v>32388.231</v>
      </c>
      <c r="T89" s="38" t="n">
        <v>17334.6</v>
      </c>
      <c r="U89" s="38" t="n">
        <v>-3533.14</v>
      </c>
      <c r="V89" s="38" t="n">
        <v>-3533.14</v>
      </c>
      <c r="W89" s="38" t="n">
        <v>0</v>
      </c>
    </row>
    <row r="90">
      <c r="A90" s="35" t="inlineStr">
        <is>
          <t>2002-02</t>
        </is>
      </c>
      <c r="B90" s="35" t="n">
        <v>2002</v>
      </c>
      <c r="C90" s="35" t="n">
        <v>2</v>
      </c>
      <c r="D90" s="36" t="n">
        <v>-2270.96</v>
      </c>
      <c r="E90" s="36" t="n">
        <v>-5.667</v>
      </c>
      <c r="F90" s="36" t="n">
        <v>446.359</v>
      </c>
      <c r="G90" s="36" t="n">
        <v/>
      </c>
      <c r="H90" s="36" t="n">
        <v/>
      </c>
      <c r="I90" s="36" t="n">
        <v>138.705</v>
      </c>
      <c r="J90" s="36" t="n">
        <v/>
      </c>
      <c r="K90" s="36" t="n">
        <v/>
      </c>
      <c r="L90" s="36" t="n">
        <v/>
      </c>
      <c r="M90" s="36" t="n">
        <v/>
      </c>
      <c r="N90" s="36" t="n">
        <v>0</v>
      </c>
      <c r="O90" s="36" t="n">
        <v/>
      </c>
      <c r="P90" s="36" t="n">
        <v/>
      </c>
      <c r="Q90" s="36" t="n">
        <v>-140.062</v>
      </c>
      <c r="R90" s="36" t="n">
        <v>47891.206</v>
      </c>
      <c r="S90" s="36" t="n">
        <v>32102.817</v>
      </c>
      <c r="T90" s="36" t="n">
        <v>15788.389</v>
      </c>
      <c r="U90" s="36" t="n">
        <v>-1831.625</v>
      </c>
      <c r="V90" s="36" t="n">
        <v>-1831.625</v>
      </c>
      <c r="W90" s="36" t="n">
        <v>0</v>
      </c>
    </row>
    <row r="91">
      <c r="A91" s="37" t="inlineStr">
        <is>
          <t>2002-03</t>
        </is>
      </c>
      <c r="B91" s="37" t="n">
        <v>2002</v>
      </c>
      <c r="C91" s="37" t="n">
        <v>3</v>
      </c>
      <c r="D91" s="38" t="n">
        <v>-1142.916</v>
      </c>
      <c r="E91" s="38" t="n">
        <v>-3.083</v>
      </c>
      <c r="F91" s="38" t="n">
        <v>1942.322</v>
      </c>
      <c r="G91" s="38" t="n">
        <v/>
      </c>
      <c r="H91" s="38" t="n">
        <v/>
      </c>
      <c r="I91" s="38" t="n">
        <v>456.11</v>
      </c>
      <c r="J91" s="38" t="n">
        <v/>
      </c>
      <c r="K91" s="38" t="n">
        <v/>
      </c>
      <c r="L91" s="38" t="n">
        <v/>
      </c>
      <c r="M91" s="38" t="n">
        <v/>
      </c>
      <c r="N91" s="38" t="n">
        <v>0</v>
      </c>
      <c r="O91" s="38" t="n">
        <v/>
      </c>
      <c r="P91" s="38" t="n">
        <v/>
      </c>
      <c r="Q91" s="38" t="n">
        <v>-288.953</v>
      </c>
      <c r="R91" s="38" t="n">
        <v>48854.685</v>
      </c>
      <c r="S91" s="38" t="n">
        <v>32547.93</v>
      </c>
      <c r="T91" s="38" t="n">
        <v>16306.755</v>
      </c>
      <c r="U91" s="38" t="n">
        <v>963.479</v>
      </c>
      <c r="V91" s="38" t="n">
        <v>963.48</v>
      </c>
      <c r="W91" s="38" t="n">
        <v>0.001</v>
      </c>
    </row>
    <row r="92">
      <c r="A92" s="35" t="inlineStr">
        <is>
          <t>2002-04</t>
        </is>
      </c>
      <c r="B92" s="35" t="n">
        <v>2002</v>
      </c>
      <c r="C92" s="35" t="n">
        <v>4</v>
      </c>
      <c r="D92" s="36" t="n">
        <v>-2592.32</v>
      </c>
      <c r="E92" s="36" t="n">
        <v>-5.79</v>
      </c>
      <c r="F92" s="36" t="n">
        <v>-41.735</v>
      </c>
      <c r="G92" s="36" t="n">
        <v/>
      </c>
      <c r="H92" s="36" t="n">
        <v/>
      </c>
      <c r="I92" s="36" t="n">
        <v>217.598</v>
      </c>
      <c r="J92" s="36" t="n">
        <v/>
      </c>
      <c r="K92" s="36" t="n">
        <v/>
      </c>
      <c r="L92" s="36" t="n">
        <v/>
      </c>
      <c r="M92" s="36" t="n">
        <v/>
      </c>
      <c r="N92" s="36" t="n">
        <v>489.333</v>
      </c>
      <c r="O92" s="36" t="n">
        <v/>
      </c>
      <c r="P92" s="36" t="n">
        <v/>
      </c>
      <c r="Q92" s="36" t="n">
        <v>-176.175</v>
      </c>
      <c r="R92" s="36" t="n">
        <v>46745.596</v>
      </c>
      <c r="S92" s="36" t="n">
        <v>31178.23</v>
      </c>
      <c r="T92" s="36" t="n">
        <v>15567.366</v>
      </c>
      <c r="U92" s="36" t="n">
        <v>-2109.089</v>
      </c>
      <c r="V92" s="36" t="n">
        <v>-2109.089</v>
      </c>
      <c r="W92" s="36" t="n">
        <v>0</v>
      </c>
    </row>
    <row r="93">
      <c r="A93" s="37" t="inlineStr">
        <is>
          <t>2002-05</t>
        </is>
      </c>
      <c r="B93" s="37" t="n">
        <v>2002</v>
      </c>
      <c r="C93" s="37" t="n">
        <v>5</v>
      </c>
      <c r="D93" s="38" t="n">
        <v>-6313.203</v>
      </c>
      <c r="E93" s="38" t="n">
        <v>-1.75</v>
      </c>
      <c r="F93" s="38" t="n">
        <v>8534.814</v>
      </c>
      <c r="G93" s="38" t="n">
        <v/>
      </c>
      <c r="H93" s="38" t="n">
        <v/>
      </c>
      <c r="I93" s="38" t="n">
        <v>78.43899999999999</v>
      </c>
      <c r="J93" s="38" t="n">
        <v/>
      </c>
      <c r="K93" s="38" t="n">
        <v/>
      </c>
      <c r="L93" s="38" t="n">
        <v/>
      </c>
      <c r="M93" s="38" t="n">
        <v/>
      </c>
      <c r="N93" s="38" t="n">
        <v>2207.015</v>
      </c>
      <c r="O93" s="38" t="n">
        <v>377.364</v>
      </c>
      <c r="P93" s="38" t="n">
        <v/>
      </c>
      <c r="Q93" s="38" t="n">
        <v>-115.087</v>
      </c>
      <c r="R93" s="38" t="n">
        <v>51513.188</v>
      </c>
      <c r="S93" s="38" t="n">
        <v>32930.327</v>
      </c>
      <c r="T93" s="38" t="n">
        <v>18582.861</v>
      </c>
      <c r="U93" s="38" t="n">
        <v>4767.592</v>
      </c>
      <c r="V93" s="38" t="n">
        <v>4767.592</v>
      </c>
      <c r="W93" s="38" t="n">
        <v>0</v>
      </c>
    </row>
    <row r="94">
      <c r="A94" s="35" t="inlineStr">
        <is>
          <t>2002-06</t>
        </is>
      </c>
      <c r="B94" s="35" t="n">
        <v>2002</v>
      </c>
      <c r="C94" s="35" t="n">
        <v>6</v>
      </c>
      <c r="D94" s="36" t="n">
        <v>-1028.983</v>
      </c>
      <c r="E94" s="36" t="n">
        <v>-3019.262</v>
      </c>
      <c r="F94" s="36" t="n">
        <v>2023.732</v>
      </c>
      <c r="G94" s="36" t="n">
        <v/>
      </c>
      <c r="H94" s="36" t="n">
        <v/>
      </c>
      <c r="I94" s="36" t="n">
        <v>-312.188</v>
      </c>
      <c r="J94" s="36" t="n">
        <v/>
      </c>
      <c r="K94" s="36" t="n">
        <v/>
      </c>
      <c r="L94" s="36" t="n">
        <v/>
      </c>
      <c r="M94" s="36" t="n">
        <v/>
      </c>
      <c r="N94" s="36" t="n">
        <v>-269.493</v>
      </c>
      <c r="O94" s="36" t="n">
        <v>1825.471</v>
      </c>
      <c r="P94" s="36" t="n">
        <v/>
      </c>
      <c r="Q94" s="36" t="n">
        <v>-39.919</v>
      </c>
      <c r="R94" s="36" t="n">
        <v>50692.546</v>
      </c>
      <c r="S94" s="36" t="n">
        <v>33899.629</v>
      </c>
      <c r="T94" s="36" t="n">
        <v>16792.917</v>
      </c>
      <c r="U94" s="36" t="n">
        <v>-820.6420000000001</v>
      </c>
      <c r="V94" s="36" t="n">
        <v>-820.6420000000001</v>
      </c>
      <c r="W94" s="36" t="n">
        <v>0</v>
      </c>
    </row>
    <row r="95">
      <c r="A95" s="37" t="inlineStr">
        <is>
          <t>2002-07</t>
        </is>
      </c>
      <c r="B95" s="37" t="n">
        <v>2002</v>
      </c>
      <c r="C95" s="37" t="n">
        <v>7</v>
      </c>
      <c r="D95" s="38" t="n">
        <v>229.622</v>
      </c>
      <c r="E95" s="38" t="n">
        <v>-4419.665</v>
      </c>
      <c r="F95" s="38" t="n">
        <v>14928.897</v>
      </c>
      <c r="G95" s="38" t="n">
        <v/>
      </c>
      <c r="H95" s="38" t="n">
        <v/>
      </c>
      <c r="I95" s="38" t="n">
        <v>-7214.23</v>
      </c>
      <c r="J95" s="38" t="n">
        <v/>
      </c>
      <c r="K95" s="38" t="n">
        <v/>
      </c>
      <c r="L95" s="38" t="n">
        <v/>
      </c>
      <c r="M95" s="38" t="n">
        <v/>
      </c>
      <c r="N95" s="38" t="n">
        <v>-2025.339</v>
      </c>
      <c r="O95" s="38" t="n">
        <v>247.697</v>
      </c>
      <c r="P95" s="38" t="n">
        <v/>
      </c>
      <c r="Q95" s="38" t="n">
        <v>-7.001</v>
      </c>
      <c r="R95" s="38" t="n">
        <v>52432.527</v>
      </c>
      <c r="S95" s="38" t="n">
        <v>34679.951</v>
      </c>
      <c r="T95" s="38" t="n">
        <v>17752.576</v>
      </c>
      <c r="U95" s="38" t="n">
        <v>1739.981</v>
      </c>
      <c r="V95" s="38" t="n">
        <v>1739.981</v>
      </c>
      <c r="W95" s="38" t="n">
        <v>0</v>
      </c>
    </row>
    <row r="96">
      <c r="A96" s="35" t="inlineStr">
        <is>
          <t>2002-08</t>
        </is>
      </c>
      <c r="B96" s="35" t="n">
        <v>2002</v>
      </c>
      <c r="C96" s="35" t="n">
        <v>8</v>
      </c>
      <c r="D96" s="36" t="n">
        <v>-2815.203</v>
      </c>
      <c r="E96" s="36" t="n">
        <v>-4823.278</v>
      </c>
      <c r="F96" s="36" t="n">
        <v>17229.105</v>
      </c>
      <c r="G96" s="36" t="n">
        <v/>
      </c>
      <c r="H96" s="36" t="n">
        <v/>
      </c>
      <c r="I96" s="36" t="n">
        <v>-6528.497</v>
      </c>
      <c r="J96" s="36" t="n">
        <v/>
      </c>
      <c r="K96" s="36" t="n">
        <v/>
      </c>
      <c r="L96" s="36" t="n">
        <v/>
      </c>
      <c r="M96" s="36" t="n">
        <v/>
      </c>
      <c r="N96" s="36" t="n">
        <v>-0.786</v>
      </c>
      <c r="O96" s="36" t="n">
        <v>-517.426</v>
      </c>
      <c r="P96" s="36" t="n">
        <v/>
      </c>
      <c r="Q96" s="36" t="n">
        <v>9.029</v>
      </c>
      <c r="R96" s="36" t="n">
        <v>54985.471</v>
      </c>
      <c r="S96" s="36" t="n">
        <v>36396.984</v>
      </c>
      <c r="T96" s="36" t="n">
        <v>18588.487</v>
      </c>
      <c r="U96" s="36" t="n">
        <v>2552.944</v>
      </c>
      <c r="V96" s="36" t="n">
        <v>2552.944</v>
      </c>
      <c r="W96" s="36" t="n">
        <v>0</v>
      </c>
    </row>
    <row r="97">
      <c r="A97" s="37" t="inlineStr">
        <is>
          <t>2002-09</t>
        </is>
      </c>
      <c r="B97" s="37" t="n">
        <v>2002</v>
      </c>
      <c r="C97" s="37" t="n">
        <v>9</v>
      </c>
      <c r="D97" s="38" t="n">
        <v>-3051.588</v>
      </c>
      <c r="E97" s="38" t="n">
        <v>-3003.956</v>
      </c>
      <c r="F97" s="38" t="n">
        <v>8997.107</v>
      </c>
      <c r="G97" s="38" t="n">
        <v/>
      </c>
      <c r="H97" s="38" t="n">
        <v/>
      </c>
      <c r="I97" s="38" t="n">
        <v>-5957.003</v>
      </c>
      <c r="J97" s="38" t="n">
        <v/>
      </c>
      <c r="K97" s="38" t="n">
        <v/>
      </c>
      <c r="L97" s="38" t="n">
        <v/>
      </c>
      <c r="M97" s="38" t="n">
        <v/>
      </c>
      <c r="N97" s="38" t="n">
        <v>2.99</v>
      </c>
      <c r="O97" s="38" t="n">
        <v>8943.072</v>
      </c>
      <c r="P97" s="38" t="n">
        <v/>
      </c>
      <c r="Q97" s="38" t="n">
        <v>-146.392</v>
      </c>
      <c r="R97" s="38" t="n">
        <v>60769.701</v>
      </c>
      <c r="S97" s="38" t="n">
        <v>37819.862</v>
      </c>
      <c r="T97" s="38" t="n">
        <v>22949.839</v>
      </c>
      <c r="U97" s="38" t="n">
        <v>5784.23</v>
      </c>
      <c r="V97" s="38" t="n">
        <v>5784.23</v>
      </c>
      <c r="W97" s="38" t="n">
        <v>0</v>
      </c>
    </row>
    <row r="98">
      <c r="A98" s="35" t="inlineStr">
        <is>
          <t>2002-10</t>
        </is>
      </c>
      <c r="B98" s="35" t="n">
        <v>2002</v>
      </c>
      <c r="C98" s="35" t="n">
        <v>10</v>
      </c>
      <c r="D98" s="36" t="n">
        <v>-296.274</v>
      </c>
      <c r="E98" s="36" t="n">
        <v>-5534.985</v>
      </c>
      <c r="F98" s="36" t="n">
        <v>20565.429</v>
      </c>
      <c r="G98" s="36" t="n">
        <v/>
      </c>
      <c r="H98" s="36" t="n">
        <v/>
      </c>
      <c r="I98" s="36" t="n">
        <v>-14725.361</v>
      </c>
      <c r="J98" s="36" t="n">
        <v/>
      </c>
      <c r="K98" s="36" t="n">
        <v/>
      </c>
      <c r="L98" s="36" t="n">
        <v/>
      </c>
      <c r="M98" s="36" t="n">
        <v/>
      </c>
      <c r="N98" s="36" t="n">
        <v>-3.395</v>
      </c>
      <c r="O98" s="36" t="n">
        <v>-157.01</v>
      </c>
      <c r="P98" s="36" t="n">
        <v/>
      </c>
      <c r="Q98" s="36" t="n">
        <v>22.026</v>
      </c>
      <c r="R98" s="36" t="n">
        <v>60640.131</v>
      </c>
      <c r="S98" s="36" t="n">
        <v>39188.893</v>
      </c>
      <c r="T98" s="36" t="n">
        <v>21451.238</v>
      </c>
      <c r="U98" s="36" t="n">
        <v>-129.57</v>
      </c>
      <c r="V98" s="36" t="n">
        <v>-129.57</v>
      </c>
      <c r="W98" s="36" t="n">
        <v>0</v>
      </c>
    </row>
    <row r="99">
      <c r="A99" s="37" t="inlineStr">
        <is>
          <t>2002-11</t>
        </is>
      </c>
      <c r="B99" s="37" t="n">
        <v>2002</v>
      </c>
      <c r="C99" s="37" t="n">
        <v>11</v>
      </c>
      <c r="D99" s="38" t="n">
        <v>-2175.423</v>
      </c>
      <c r="E99" s="38" t="n">
        <v>-628.88</v>
      </c>
      <c r="F99" s="38" t="n">
        <v>3788.218</v>
      </c>
      <c r="G99" s="38" t="n">
        <v/>
      </c>
      <c r="H99" s="38" t="n">
        <v/>
      </c>
      <c r="I99" s="38" t="n">
        <v>329.66</v>
      </c>
      <c r="J99" s="38" t="n">
        <v/>
      </c>
      <c r="K99" s="38" t="n">
        <v/>
      </c>
      <c r="L99" s="38" t="n">
        <v/>
      </c>
      <c r="M99" s="38" t="n">
        <v/>
      </c>
      <c r="N99" s="38" t="n">
        <v>0.982</v>
      </c>
      <c r="O99" s="38" t="n">
        <v>-1484.468</v>
      </c>
      <c r="P99" s="38" t="n">
        <v/>
      </c>
      <c r="Q99" s="38" t="n">
        <v>88.71899999999999</v>
      </c>
      <c r="R99" s="38" t="n">
        <v>60558.939</v>
      </c>
      <c r="S99" s="38" t="n">
        <v>41071.902</v>
      </c>
      <c r="T99" s="38" t="n">
        <v>19487.037</v>
      </c>
      <c r="U99" s="38" t="n">
        <v>-81.19199999999999</v>
      </c>
      <c r="V99" s="38" t="n">
        <v>-81.19199999999999</v>
      </c>
      <c r="W99" s="38" t="n">
        <v>0</v>
      </c>
    </row>
    <row r="100">
      <c r="A100" s="35" t="inlineStr">
        <is>
          <t>2002-12</t>
        </is>
      </c>
      <c r="B100" s="35" t="n">
        <v>2002</v>
      </c>
      <c r="C100" s="35" t="n">
        <v>12</v>
      </c>
      <c r="D100" s="36" t="n">
        <v>196.734</v>
      </c>
      <c r="E100" s="36" t="n">
        <v>-4981.6</v>
      </c>
      <c r="F100" s="36" t="n">
        <v>15954.153</v>
      </c>
      <c r="G100" s="36" t="n">
        <v/>
      </c>
      <c r="H100" s="36" t="n">
        <v/>
      </c>
      <c r="I100" s="36" t="n">
        <v>-276.31</v>
      </c>
      <c r="J100" s="36" t="n">
        <v/>
      </c>
      <c r="K100" s="36" t="n">
        <v/>
      </c>
      <c r="L100" s="36" t="n">
        <v/>
      </c>
      <c r="M100" s="36" t="n">
        <v/>
      </c>
      <c r="N100" s="36" t="n">
        <v>-0.9320000000000001</v>
      </c>
      <c r="O100" s="36" t="n">
        <v>1707.304</v>
      </c>
      <c r="P100" s="36" t="n">
        <v/>
      </c>
      <c r="Q100" s="36" t="n">
        <v>143.984</v>
      </c>
      <c r="R100" s="36" t="n">
        <v>73302.272</v>
      </c>
      <c r="S100" s="36" t="n">
        <v>49931.066</v>
      </c>
      <c r="T100" s="36" t="n">
        <v>23371.206</v>
      </c>
      <c r="U100" s="36" t="n">
        <v>12743.333</v>
      </c>
      <c r="V100" s="36" t="n">
        <v>12743.333</v>
      </c>
      <c r="W100" s="36" t="n">
        <v>0</v>
      </c>
    </row>
    <row r="101">
      <c r="A101" s="37" t="inlineStr">
        <is>
          <t>2003-01</t>
        </is>
      </c>
      <c r="B101" s="37" t="n">
        <v>2003</v>
      </c>
      <c r="C101" s="37" t="n">
        <v>1</v>
      </c>
      <c r="D101" s="38" t="n">
        <v>1055.665</v>
      </c>
      <c r="E101" s="38" t="n">
        <v>3342.268</v>
      </c>
      <c r="F101" s="38" t="n">
        <v>-17799.657</v>
      </c>
      <c r="G101" s="38" t="n">
        <v/>
      </c>
      <c r="H101" s="38" t="n">
        <v/>
      </c>
      <c r="I101" s="38" t="n">
        <v>1258.93</v>
      </c>
      <c r="J101" s="38" t="n">
        <v/>
      </c>
      <c r="K101" s="38" t="n">
        <v/>
      </c>
      <c r="L101" s="38" t="n">
        <v/>
      </c>
      <c r="M101" s="38" t="n">
        <v/>
      </c>
      <c r="N101" s="38" t="n">
        <v>-0.167</v>
      </c>
      <c r="O101" s="38" t="n">
        <v>3676.635</v>
      </c>
      <c r="P101" s="38" t="n">
        <v/>
      </c>
      <c r="Q101" s="38" t="n">
        <v>-465.689</v>
      </c>
      <c r="R101" s="38" t="n">
        <v>64370.257</v>
      </c>
      <c r="S101" s="38" t="n">
        <v>43639.339</v>
      </c>
      <c r="T101" s="38" t="n">
        <v>20730.918</v>
      </c>
      <c r="U101" s="38" t="n">
        <v>-8932.014999999999</v>
      </c>
      <c r="V101" s="38" t="n">
        <v>-8932.014999999999</v>
      </c>
      <c r="W101" s="38" t="n">
        <v>0</v>
      </c>
    </row>
    <row r="102">
      <c r="A102" s="35" t="inlineStr">
        <is>
          <t>2003-02</t>
        </is>
      </c>
      <c r="B102" s="35" t="n">
        <v>2003</v>
      </c>
      <c r="C102" s="35" t="n">
        <v>2</v>
      </c>
      <c r="D102" s="36" t="n">
        <v>-5370.958</v>
      </c>
      <c r="E102" s="36" t="n">
        <v>-2918.025</v>
      </c>
      <c r="F102" s="36" t="n">
        <v>10754.815</v>
      </c>
      <c r="G102" s="36" t="n">
        <v/>
      </c>
      <c r="H102" s="36" t="n">
        <v/>
      </c>
      <c r="I102" s="36" t="n">
        <v>-273.57</v>
      </c>
      <c r="J102" s="36" t="n">
        <v/>
      </c>
      <c r="K102" s="36" t="n">
        <v/>
      </c>
      <c r="L102" s="36" t="n">
        <v/>
      </c>
      <c r="M102" s="36" t="n">
        <v/>
      </c>
      <c r="N102" s="36" t="n">
        <v>1.596</v>
      </c>
      <c r="O102" s="36" t="n">
        <v>937.093</v>
      </c>
      <c r="P102" s="36" t="n">
        <v/>
      </c>
      <c r="Q102" s="36" t="n">
        <v>-6.775</v>
      </c>
      <c r="R102" s="36" t="n">
        <v>67494.433</v>
      </c>
      <c r="S102" s="36" t="n">
        <v>43663.53</v>
      </c>
      <c r="T102" s="36" t="n">
        <v>23830.903</v>
      </c>
      <c r="U102" s="36" t="n">
        <v>3124.176</v>
      </c>
      <c r="V102" s="36" t="n">
        <v>3124.176</v>
      </c>
      <c r="W102" s="36" t="n">
        <v>0</v>
      </c>
    </row>
    <row r="103">
      <c r="A103" s="37" t="inlineStr">
        <is>
          <t>2003-03</t>
        </is>
      </c>
      <c r="B103" s="37" t="n">
        <v>2003</v>
      </c>
      <c r="C103" s="37" t="n">
        <v>3</v>
      </c>
      <c r="D103" s="38" t="n">
        <v>-2491.175</v>
      </c>
      <c r="E103" s="38" t="n">
        <v>-1008.862</v>
      </c>
      <c r="F103" s="38" t="n">
        <v>2661.586</v>
      </c>
      <c r="G103" s="38" t="n">
        <v/>
      </c>
      <c r="H103" s="38" t="n">
        <v/>
      </c>
      <c r="I103" s="38" t="n">
        <v>1858.368</v>
      </c>
      <c r="J103" s="38" t="n">
        <v/>
      </c>
      <c r="K103" s="38" t="n">
        <v/>
      </c>
      <c r="L103" s="38" t="n">
        <v/>
      </c>
      <c r="M103" s="38" t="n">
        <v/>
      </c>
      <c r="N103" s="38" t="n">
        <v>-2.544</v>
      </c>
      <c r="O103" s="38" t="n">
        <v>-2359.924</v>
      </c>
      <c r="P103" s="38" t="n">
        <v/>
      </c>
      <c r="Q103" s="38" t="n">
        <v>-119.427</v>
      </c>
      <c r="R103" s="38" t="n">
        <v>66032.455</v>
      </c>
      <c r="S103" s="38" t="n">
        <v>39909.573</v>
      </c>
      <c r="T103" s="38" t="n">
        <v>26122.882</v>
      </c>
      <c r="U103" s="38" t="n">
        <v>-1461.978</v>
      </c>
      <c r="V103" s="38" t="n">
        <v>-1461.978</v>
      </c>
      <c r="W103" s="38" t="n">
        <v>0</v>
      </c>
    </row>
    <row r="104">
      <c r="A104" s="35" t="inlineStr">
        <is>
          <t>2003-04</t>
        </is>
      </c>
      <c r="B104" s="35" t="n">
        <v>2003</v>
      </c>
      <c r="C104" s="35" t="n">
        <v>4</v>
      </c>
      <c r="D104" s="36" t="n">
        <v>-6998.138</v>
      </c>
      <c r="E104" s="36" t="n">
        <v>-256.336</v>
      </c>
      <c r="F104" s="36" t="n">
        <v>20047.934</v>
      </c>
      <c r="G104" s="36" t="n">
        <v/>
      </c>
      <c r="H104" s="36" t="n">
        <v/>
      </c>
      <c r="I104" s="36" t="n">
        <v>480.988</v>
      </c>
      <c r="J104" s="36" t="n">
        <v/>
      </c>
      <c r="K104" s="36" t="n">
        <v/>
      </c>
      <c r="L104" s="36" t="n">
        <v/>
      </c>
      <c r="M104" s="36" t="n">
        <v/>
      </c>
      <c r="N104" s="36" t="n">
        <v>-0.24</v>
      </c>
      <c r="O104" s="36" t="n">
        <v>-11075.626</v>
      </c>
      <c r="P104" s="36" t="n">
        <v/>
      </c>
      <c r="Q104" s="36" t="n">
        <v>-2.249</v>
      </c>
      <c r="R104" s="36" t="n">
        <v>68228.788</v>
      </c>
      <c r="S104" s="36" t="n">
        <v>39047.731</v>
      </c>
      <c r="T104" s="36" t="n">
        <v>29181.057</v>
      </c>
      <c r="U104" s="36" t="n">
        <v>2196.333</v>
      </c>
      <c r="V104" s="36" t="n">
        <v>2196.333</v>
      </c>
      <c r="W104" s="36" t="n">
        <v>0</v>
      </c>
    </row>
    <row r="105">
      <c r="A105" s="37" t="inlineStr">
        <is>
          <t>2003-05</t>
        </is>
      </c>
      <c r="B105" s="37" t="n">
        <v>2003</v>
      </c>
      <c r="C105" s="37" t="n">
        <v>5</v>
      </c>
      <c r="D105" s="38" t="n">
        <v>-7569.468</v>
      </c>
      <c r="E105" s="38" t="n">
        <v>1466.923</v>
      </c>
      <c r="F105" s="38" t="n">
        <v>873.37</v>
      </c>
      <c r="G105" s="38" t="n">
        <v/>
      </c>
      <c r="H105" s="38" t="n">
        <v/>
      </c>
      <c r="I105" s="38" t="n">
        <v>1547.807</v>
      </c>
      <c r="J105" s="38" t="n">
        <v/>
      </c>
      <c r="K105" s="38" t="n">
        <v/>
      </c>
      <c r="L105" s="38" t="n">
        <v/>
      </c>
      <c r="M105" s="38" t="n">
        <v/>
      </c>
      <c r="N105" s="38" t="n">
        <v>-0.056</v>
      </c>
      <c r="O105" s="38" t="n">
        <v>392.471</v>
      </c>
      <c r="P105" s="38" t="n">
        <v/>
      </c>
      <c r="Q105" s="38" t="n">
        <v>173.759</v>
      </c>
      <c r="R105" s="38" t="n">
        <v>65113.594</v>
      </c>
      <c r="S105" s="38" t="n">
        <v>38816.444</v>
      </c>
      <c r="T105" s="38" t="n">
        <v>26297.15</v>
      </c>
      <c r="U105" s="38" t="n">
        <v>-3115.194</v>
      </c>
      <c r="V105" s="38" t="n">
        <v>-3115.194</v>
      </c>
      <c r="W105" s="38" t="n">
        <v>0</v>
      </c>
    </row>
    <row r="106">
      <c r="A106" s="35" t="inlineStr">
        <is>
          <t>2003-06</t>
        </is>
      </c>
      <c r="B106" s="35" t="n">
        <v>2003</v>
      </c>
      <c r="C106" s="35" t="n">
        <v>6</v>
      </c>
      <c r="D106" s="36" t="n">
        <v>1156.239</v>
      </c>
      <c r="E106" s="36" t="n">
        <v>12.958</v>
      </c>
      <c r="F106" s="36" t="n">
        <v>-990.3390000000001</v>
      </c>
      <c r="G106" s="36" t="n">
        <v/>
      </c>
      <c r="H106" s="36" t="n">
        <v/>
      </c>
      <c r="I106" s="36" t="n">
        <v>963.799</v>
      </c>
      <c r="J106" s="36" t="n">
        <v/>
      </c>
      <c r="K106" s="36" t="n">
        <v/>
      </c>
      <c r="L106" s="36" t="n">
        <v/>
      </c>
      <c r="M106" s="36" t="n">
        <v/>
      </c>
      <c r="N106" s="36" t="n">
        <v>42.758</v>
      </c>
      <c r="O106" s="36" t="n">
        <v>-2550.952</v>
      </c>
      <c r="P106" s="36" t="n">
        <v/>
      </c>
      <c r="Q106" s="36" t="n">
        <v>89.884</v>
      </c>
      <c r="R106" s="36" t="n">
        <v>63837.941</v>
      </c>
      <c r="S106" s="36" t="n">
        <v>38798.575</v>
      </c>
      <c r="T106" s="36" t="n">
        <v>25039.366</v>
      </c>
      <c r="U106" s="36" t="n">
        <v>-1275.653</v>
      </c>
      <c r="V106" s="36" t="n">
        <v>-1275.653</v>
      </c>
      <c r="W106" s="36" t="n">
        <v>0</v>
      </c>
    </row>
    <row r="107">
      <c r="A107" s="37" t="inlineStr">
        <is>
          <t>2003-07</t>
        </is>
      </c>
      <c r="B107" s="37" t="n">
        <v>2003</v>
      </c>
      <c r="C107" s="37" t="n">
        <v>7</v>
      </c>
      <c r="D107" s="38" t="n">
        <v>4059.095</v>
      </c>
      <c r="E107" s="38" t="n">
        <v>-26.437</v>
      </c>
      <c r="F107" s="38" t="n">
        <v>-1883.483</v>
      </c>
      <c r="G107" s="38" t="n">
        <v/>
      </c>
      <c r="H107" s="38" t="n">
        <v/>
      </c>
      <c r="I107" s="38" t="n">
        <v>885.248</v>
      </c>
      <c r="J107" s="38" t="n">
        <v/>
      </c>
      <c r="K107" s="38" t="n">
        <v/>
      </c>
      <c r="L107" s="38" t="n">
        <v/>
      </c>
      <c r="M107" s="38" t="n">
        <v/>
      </c>
      <c r="N107" s="38" t="n">
        <v>-42.962</v>
      </c>
      <c r="O107" s="38" t="n">
        <v>923.742</v>
      </c>
      <c r="P107" s="38" t="n">
        <v/>
      </c>
      <c r="Q107" s="38" t="n">
        <v>88.062</v>
      </c>
      <c r="R107" s="38" t="n">
        <v>67841.20600000001</v>
      </c>
      <c r="S107" s="38" t="n">
        <v>39231.301</v>
      </c>
      <c r="T107" s="38" t="n">
        <v>28609.905</v>
      </c>
      <c r="U107" s="38" t="n">
        <v>4003.265</v>
      </c>
      <c r="V107" s="38" t="n">
        <v>4003.265</v>
      </c>
      <c r="W107" s="38" t="n">
        <v>0</v>
      </c>
    </row>
    <row r="108">
      <c r="A108" s="35" t="inlineStr">
        <is>
          <t>2003-08</t>
        </is>
      </c>
      <c r="B108" s="35" t="n">
        <v>2003</v>
      </c>
      <c r="C108" s="35" t="n">
        <v>8</v>
      </c>
      <c r="D108" s="36" t="n">
        <v>-1733.926</v>
      </c>
      <c r="E108" s="36" t="n">
        <v>13.713</v>
      </c>
      <c r="F108" s="36" t="n">
        <v>-7533.585</v>
      </c>
      <c r="G108" s="36" t="n">
        <v/>
      </c>
      <c r="H108" s="36" t="n">
        <v/>
      </c>
      <c r="I108" s="36" t="n">
        <v>78.953</v>
      </c>
      <c r="J108" s="36" t="n">
        <v/>
      </c>
      <c r="K108" s="36" t="n">
        <v/>
      </c>
      <c r="L108" s="36" t="n">
        <v/>
      </c>
      <c r="M108" s="36" t="n">
        <v/>
      </c>
      <c r="N108" s="36" t="n">
        <v>28.532</v>
      </c>
      <c r="O108" s="36" t="n">
        <v>-269.682</v>
      </c>
      <c r="P108" s="36" t="n">
        <v/>
      </c>
      <c r="Q108" s="36" t="n">
        <v>4.809</v>
      </c>
      <c r="R108" s="36" t="n">
        <v>58430.02</v>
      </c>
      <c r="S108" s="36" t="n">
        <v>39812.705</v>
      </c>
      <c r="T108" s="36" t="n">
        <v>18617.315</v>
      </c>
      <c r="U108" s="36" t="n">
        <v>-9411.186</v>
      </c>
      <c r="V108" s="36" t="n">
        <v>-9411.186</v>
      </c>
      <c r="W108" s="36" t="n">
        <v>0</v>
      </c>
    </row>
    <row r="109">
      <c r="A109" s="37" t="inlineStr">
        <is>
          <t>2003-09</t>
        </is>
      </c>
      <c r="B109" s="37" t="n">
        <v>2003</v>
      </c>
      <c r="C109" s="37" t="n">
        <v>9</v>
      </c>
      <c r="D109" s="38" t="n">
        <v>1635.617</v>
      </c>
      <c r="E109" s="38" t="n">
        <v>-6.384</v>
      </c>
      <c r="F109" s="38" t="n">
        <v>-3394.295</v>
      </c>
      <c r="G109" s="38" t="n">
        <v/>
      </c>
      <c r="H109" s="38" t="n">
        <v/>
      </c>
      <c r="I109" s="38" t="n">
        <v>1170.639</v>
      </c>
      <c r="J109" s="38" t="n">
        <v/>
      </c>
      <c r="K109" s="38" t="n">
        <v/>
      </c>
      <c r="L109" s="38" t="n">
        <v/>
      </c>
      <c r="M109" s="38" t="n">
        <v/>
      </c>
      <c r="N109" s="38" t="n">
        <v>-29.611</v>
      </c>
      <c r="O109" s="38" t="n">
        <v>-1530.431</v>
      </c>
      <c r="P109" s="38" t="n">
        <v/>
      </c>
      <c r="Q109" s="38" t="n">
        <v>-165.446</v>
      </c>
      <c r="R109" s="38" t="n">
        <v>56110.109</v>
      </c>
      <c r="S109" s="38" t="n">
        <v>39155.681</v>
      </c>
      <c r="T109" s="38" t="n">
        <v>16954.428</v>
      </c>
      <c r="U109" s="38" t="n">
        <v>-2319.911</v>
      </c>
      <c r="V109" s="38" t="n">
        <v>-2319.911</v>
      </c>
      <c r="W109" s="38" t="n">
        <v>0</v>
      </c>
    </row>
    <row r="110">
      <c r="A110" s="35" t="inlineStr">
        <is>
          <t>2003-10</t>
        </is>
      </c>
      <c r="B110" s="35" t="n">
        <v>2003</v>
      </c>
      <c r="C110" s="35" t="n">
        <v>10</v>
      </c>
      <c r="D110" s="36" t="n">
        <v>2282.838</v>
      </c>
      <c r="E110" s="36" t="n">
        <v>-0.636</v>
      </c>
      <c r="F110" s="36" t="n">
        <v>3669.12</v>
      </c>
      <c r="G110" s="36" t="n">
        <v/>
      </c>
      <c r="H110" s="36" t="n">
        <v/>
      </c>
      <c r="I110" s="36" t="n">
        <v>298.305</v>
      </c>
      <c r="J110" s="36" t="n">
        <v/>
      </c>
      <c r="K110" s="36" t="n">
        <v/>
      </c>
      <c r="L110" s="36" t="n">
        <v/>
      </c>
      <c r="M110" s="36" t="n">
        <v/>
      </c>
      <c r="N110" s="36" t="n">
        <v>-0.08400000000000001</v>
      </c>
      <c r="O110" s="36" t="n">
        <v>-3125.358</v>
      </c>
      <c r="P110" s="36" t="n">
        <v/>
      </c>
      <c r="Q110" s="36" t="n">
        <v>-1523.856</v>
      </c>
      <c r="R110" s="36" t="n">
        <v>57710.438</v>
      </c>
      <c r="S110" s="36" t="n">
        <v>40139.626</v>
      </c>
      <c r="T110" s="36" t="n">
        <v>17570.812</v>
      </c>
      <c r="U110" s="36" t="n">
        <v>1600.329</v>
      </c>
      <c r="V110" s="36" t="n">
        <v>1600.329</v>
      </c>
      <c r="W110" s="36" t="n">
        <v>0</v>
      </c>
    </row>
    <row r="111">
      <c r="A111" s="37" t="inlineStr">
        <is>
          <t>2003-11</t>
        </is>
      </c>
      <c r="B111" s="37" t="n">
        <v>2003</v>
      </c>
      <c r="C111" s="37" t="n">
        <v>11</v>
      </c>
      <c r="D111" s="38" t="n">
        <v>1198.07</v>
      </c>
      <c r="E111" s="38" t="n">
        <v>10.543</v>
      </c>
      <c r="F111" s="38" t="n">
        <v>1543.933</v>
      </c>
      <c r="G111" s="38" t="n">
        <v/>
      </c>
      <c r="H111" s="38" t="n">
        <v/>
      </c>
      <c r="I111" s="38" t="n">
        <v>125.52</v>
      </c>
      <c r="J111" s="38" t="n">
        <v/>
      </c>
      <c r="K111" s="38" t="n">
        <v/>
      </c>
      <c r="L111" s="38" t="n">
        <v/>
      </c>
      <c r="M111" s="38" t="n">
        <v/>
      </c>
      <c r="N111" s="38" t="n">
        <v>8.99</v>
      </c>
      <c r="O111" s="38" t="n">
        <v>1857.92</v>
      </c>
      <c r="P111" s="38" t="n">
        <v/>
      </c>
      <c r="Q111" s="38" t="n">
        <v>-38.047</v>
      </c>
      <c r="R111" s="38" t="n">
        <v>62417.367</v>
      </c>
      <c r="S111" s="38" t="n">
        <v>42691.722</v>
      </c>
      <c r="T111" s="38" t="n">
        <v>19725.645</v>
      </c>
      <c r="U111" s="38" t="n">
        <v>4706.929</v>
      </c>
      <c r="V111" s="38" t="n">
        <v>4706.929</v>
      </c>
      <c r="W111" s="38" t="n">
        <v>0</v>
      </c>
    </row>
    <row r="112">
      <c r="A112" s="35" t="inlineStr">
        <is>
          <t>2003-12</t>
        </is>
      </c>
      <c r="B112" s="35" t="n">
        <v>2003</v>
      </c>
      <c r="C112" s="35" t="n">
        <v>12</v>
      </c>
      <c r="D112" s="36" t="n">
        <v>11711.648</v>
      </c>
      <c r="E112" s="36" t="n">
        <v>13.499</v>
      </c>
      <c r="F112" s="36" t="n">
        <v>3231.403</v>
      </c>
      <c r="G112" s="36" t="n">
        <v/>
      </c>
      <c r="H112" s="36" t="n">
        <v/>
      </c>
      <c r="I112" s="36" t="n">
        <v>-1665.84</v>
      </c>
      <c r="J112" s="36" t="n">
        <v/>
      </c>
      <c r="K112" s="36" t="n">
        <v/>
      </c>
      <c r="L112" s="36" t="n">
        <v/>
      </c>
      <c r="M112" s="36" t="n">
        <v/>
      </c>
      <c r="N112" s="36" t="n">
        <v>-3.965</v>
      </c>
      <c r="O112" s="36" t="n">
        <v>-2507.953</v>
      </c>
      <c r="P112" s="36" t="n">
        <v/>
      </c>
      <c r="Q112" s="36" t="n">
        <v>22.977</v>
      </c>
      <c r="R112" s="36" t="n">
        <v>73219.136</v>
      </c>
      <c r="S112" s="36" t="n">
        <v>51363.863</v>
      </c>
      <c r="T112" s="36" t="n">
        <v>21855.273</v>
      </c>
      <c r="U112" s="36" t="n">
        <v>10801.769</v>
      </c>
      <c r="V112" s="36" t="n">
        <v>10801.769</v>
      </c>
      <c r="W112" s="36" t="n">
        <v>0</v>
      </c>
    </row>
    <row r="113">
      <c r="A113" s="37" t="inlineStr">
        <is>
          <t>2004-01</t>
        </is>
      </c>
      <c r="B113" s="37" t="n">
        <v>2004</v>
      </c>
      <c r="C113" s="37" t="n">
        <v>1</v>
      </c>
      <c r="D113" s="38" t="n">
        <v>1720.224</v>
      </c>
      <c r="E113" s="38" t="n">
        <v>7396.226</v>
      </c>
      <c r="F113" s="38" t="n">
        <v>-15010.003</v>
      </c>
      <c r="G113" s="38" t="n">
        <v/>
      </c>
      <c r="H113" s="38" t="n">
        <v/>
      </c>
      <c r="I113" s="38" t="n">
        <v>717.511</v>
      </c>
      <c r="J113" s="38" t="n">
        <v/>
      </c>
      <c r="K113" s="38" t="n">
        <v/>
      </c>
      <c r="L113" s="38" t="n">
        <v/>
      </c>
      <c r="M113" s="38" t="n">
        <v/>
      </c>
      <c r="N113" s="38" t="n">
        <v>-5.73</v>
      </c>
      <c r="O113" s="38" t="n">
        <v>872.495</v>
      </c>
      <c r="P113" s="38" t="n">
        <v/>
      </c>
      <c r="Q113" s="38" t="n">
        <v>-10.091</v>
      </c>
      <c r="R113" s="38" t="n">
        <v>68899.768</v>
      </c>
      <c r="S113" s="38" t="n">
        <v>46063.907</v>
      </c>
      <c r="T113" s="38" t="n">
        <v>22835.861</v>
      </c>
      <c r="U113" s="38" t="n">
        <v>-4319.368</v>
      </c>
      <c r="V113" s="38" t="n">
        <v>-4319.368</v>
      </c>
      <c r="W113" s="38" t="n">
        <v>0</v>
      </c>
    </row>
    <row r="114">
      <c r="A114" s="35" t="inlineStr">
        <is>
          <t>2004-02</t>
        </is>
      </c>
      <c r="B114" s="35" t="n">
        <v>2004</v>
      </c>
      <c r="C114" s="35" t="n">
        <v>2</v>
      </c>
      <c r="D114" s="36" t="n">
        <v>-6223.87</v>
      </c>
      <c r="E114" s="36" t="n">
        <v>20.115</v>
      </c>
      <c r="F114" s="36" t="n">
        <v>5839.493</v>
      </c>
      <c r="G114" s="36" t="n">
        <v/>
      </c>
      <c r="H114" s="36" t="n">
        <v/>
      </c>
      <c r="I114" s="36" t="n">
        <v>655.736</v>
      </c>
      <c r="J114" s="36" t="n">
        <v/>
      </c>
      <c r="K114" s="36" t="n">
        <v/>
      </c>
      <c r="L114" s="36" t="n">
        <v/>
      </c>
      <c r="M114" s="36" t="n">
        <v/>
      </c>
      <c r="N114" s="36" t="n">
        <v>66.286</v>
      </c>
      <c r="O114" s="36" t="n">
        <v>-398.922</v>
      </c>
      <c r="P114" s="36" t="n">
        <v/>
      </c>
      <c r="Q114" s="36" t="n">
        <v>10.387</v>
      </c>
      <c r="R114" s="36" t="n">
        <v>68868.993</v>
      </c>
      <c r="S114" s="36" t="n">
        <v>46011.386</v>
      </c>
      <c r="T114" s="36" t="n">
        <v>22857.607</v>
      </c>
      <c r="U114" s="36" t="n">
        <v>-30.775</v>
      </c>
      <c r="V114" s="36" t="n">
        <v>-30.775</v>
      </c>
      <c r="W114" s="36" t="n">
        <v>0</v>
      </c>
    </row>
    <row r="115">
      <c r="A115" s="37" t="inlineStr">
        <is>
          <t>2004-03</t>
        </is>
      </c>
      <c r="B115" s="37" t="n">
        <v>2004</v>
      </c>
      <c r="C115" s="37" t="n">
        <v>3</v>
      </c>
      <c r="D115" s="38" t="n">
        <v>-5435.861</v>
      </c>
      <c r="E115" s="38" t="n">
        <v>-19.149</v>
      </c>
      <c r="F115" s="38" t="n">
        <v>-259.769</v>
      </c>
      <c r="G115" s="38" t="n">
        <v/>
      </c>
      <c r="H115" s="38" t="n">
        <v/>
      </c>
      <c r="I115" s="38" t="n">
        <v>871.0359999999999</v>
      </c>
      <c r="J115" s="38" t="n">
        <v/>
      </c>
      <c r="K115" s="38" t="n">
        <v/>
      </c>
      <c r="L115" s="38" t="n">
        <v/>
      </c>
      <c r="M115" s="38" t="n">
        <v/>
      </c>
      <c r="N115" s="38" t="n">
        <v>-66.36</v>
      </c>
      <c r="O115" s="38" t="n">
        <v>-684.388</v>
      </c>
      <c r="P115" s="38" t="n">
        <v/>
      </c>
      <c r="Q115" s="38" t="n">
        <v>-151.874</v>
      </c>
      <c r="R115" s="38" t="n">
        <v>63122.628</v>
      </c>
      <c r="S115" s="38" t="n">
        <v>44481.983</v>
      </c>
      <c r="T115" s="38" t="n">
        <v>18640.645</v>
      </c>
      <c r="U115" s="38" t="n">
        <v>-5746.365</v>
      </c>
      <c r="V115" s="38" t="n">
        <v>-5746.365</v>
      </c>
      <c r="W115" s="38" t="n">
        <v>0</v>
      </c>
    </row>
    <row r="116">
      <c r="A116" s="35" t="inlineStr">
        <is>
          <t>2004-04</t>
        </is>
      </c>
      <c r="B116" s="35" t="n">
        <v>2004</v>
      </c>
      <c r="C116" s="35" t="n">
        <v>4</v>
      </c>
      <c r="D116" s="36" t="n">
        <v>-9271.313</v>
      </c>
      <c r="E116" s="36" t="n">
        <v>2.71</v>
      </c>
      <c r="F116" s="36" t="n">
        <v>11861.726</v>
      </c>
      <c r="G116" s="36" t="n">
        <v/>
      </c>
      <c r="H116" s="36" t="n">
        <v/>
      </c>
      <c r="I116" s="36" t="n">
        <v>-339.564</v>
      </c>
      <c r="J116" s="36" t="n">
        <v/>
      </c>
      <c r="K116" s="36" t="n">
        <v/>
      </c>
      <c r="L116" s="36" t="n">
        <v/>
      </c>
      <c r="M116" s="36" t="n">
        <v/>
      </c>
      <c r="N116" s="36" t="n">
        <v>0</v>
      </c>
      <c r="O116" s="36" t="n">
        <v>251.233</v>
      </c>
      <c r="P116" s="36" t="n">
        <v/>
      </c>
      <c r="Q116" s="36" t="n">
        <v>-14.437</v>
      </c>
      <c r="R116" s="36" t="n">
        <v>65612.98299999999</v>
      </c>
      <c r="S116" s="36" t="n">
        <v>45160.663</v>
      </c>
      <c r="T116" s="36" t="n">
        <v>20452.32</v>
      </c>
      <c r="U116" s="36" t="n">
        <v>2490.355</v>
      </c>
      <c r="V116" s="36" t="n">
        <v>2490.355</v>
      </c>
      <c r="W116" s="36" t="n">
        <v>0</v>
      </c>
    </row>
    <row r="117">
      <c r="A117" s="37" t="inlineStr">
        <is>
          <t>2004-05</t>
        </is>
      </c>
      <c r="B117" s="37" t="n">
        <v>2004</v>
      </c>
      <c r="C117" s="37" t="n">
        <v>5</v>
      </c>
      <c r="D117" s="38" t="n">
        <v>-7344.965</v>
      </c>
      <c r="E117" s="38" t="n">
        <v>8.039</v>
      </c>
      <c r="F117" s="38" t="n">
        <v>6874.589</v>
      </c>
      <c r="G117" s="38" t="n">
        <v/>
      </c>
      <c r="H117" s="38" t="n">
        <v/>
      </c>
      <c r="I117" s="38" t="n">
        <v>187.565</v>
      </c>
      <c r="J117" s="38" t="n">
        <v/>
      </c>
      <c r="K117" s="38" t="n">
        <v/>
      </c>
      <c r="L117" s="38" t="n">
        <v/>
      </c>
      <c r="M117" s="38" t="n">
        <v/>
      </c>
      <c r="N117" s="38" t="n">
        <v>5.889</v>
      </c>
      <c r="O117" s="38" t="n">
        <v>1461.004</v>
      </c>
      <c r="P117" s="38" t="n">
        <v/>
      </c>
      <c r="Q117" s="38" t="n">
        <v>17.049</v>
      </c>
      <c r="R117" s="38" t="n">
        <v>66822.15300000001</v>
      </c>
      <c r="S117" s="38" t="n">
        <v>46024.983</v>
      </c>
      <c r="T117" s="38" t="n">
        <v>20797.17</v>
      </c>
      <c r="U117" s="38" t="n">
        <v>1209.17</v>
      </c>
      <c r="V117" s="38" t="n">
        <v>1209.17</v>
      </c>
      <c r="W117" s="38" t="n">
        <v>0</v>
      </c>
    </row>
    <row r="118">
      <c r="A118" s="35" t="inlineStr">
        <is>
          <t>2004-06</t>
        </is>
      </c>
      <c r="B118" s="35" t="n">
        <v>2004</v>
      </c>
      <c r="C118" s="35" t="n">
        <v>6</v>
      </c>
      <c r="D118" s="36" t="n">
        <v>-3608.508</v>
      </c>
      <c r="E118" s="36" t="n">
        <v>2.858</v>
      </c>
      <c r="F118" s="36" t="n">
        <v>6328.251</v>
      </c>
      <c r="G118" s="36" t="n">
        <v/>
      </c>
      <c r="H118" s="36" t="n">
        <v/>
      </c>
      <c r="I118" s="36" t="n">
        <v>-1186.893</v>
      </c>
      <c r="J118" s="36" t="n">
        <v/>
      </c>
      <c r="K118" s="36" t="n">
        <v/>
      </c>
      <c r="L118" s="36" t="n">
        <v/>
      </c>
      <c r="M118" s="36" t="n">
        <v/>
      </c>
      <c r="N118" s="36" t="n">
        <v>-6.022</v>
      </c>
      <c r="O118" s="36" t="n">
        <v>-360.516</v>
      </c>
      <c r="P118" s="36" t="n">
        <v/>
      </c>
      <c r="Q118" s="36" t="n">
        <v>0.947</v>
      </c>
      <c r="R118" s="36" t="n">
        <v>67992.27</v>
      </c>
      <c r="S118" s="36" t="n">
        <v>46645.619</v>
      </c>
      <c r="T118" s="36" t="n">
        <v>21346.651</v>
      </c>
      <c r="U118" s="36" t="n">
        <v>1170.117</v>
      </c>
      <c r="V118" s="36" t="n">
        <v>1170.117</v>
      </c>
      <c r="W118" s="36" t="n">
        <v>0</v>
      </c>
    </row>
    <row r="119">
      <c r="A119" s="37" t="inlineStr">
        <is>
          <t>2004-07</t>
        </is>
      </c>
      <c r="B119" s="37" t="n">
        <v>2004</v>
      </c>
      <c r="C119" s="37" t="n">
        <v>7</v>
      </c>
      <c r="D119" s="38" t="n">
        <v>-928.116</v>
      </c>
      <c r="E119" s="38" t="n">
        <v>-28.262</v>
      </c>
      <c r="F119" s="38" t="n">
        <v>7661.103</v>
      </c>
      <c r="G119" s="38" t="n">
        <v/>
      </c>
      <c r="H119" s="38" t="n">
        <v/>
      </c>
      <c r="I119" s="38" t="n">
        <v>-555.425</v>
      </c>
      <c r="J119" s="38" t="n">
        <v/>
      </c>
      <c r="K119" s="38" t="n">
        <v/>
      </c>
      <c r="L119" s="38" t="n">
        <v/>
      </c>
      <c r="M119" s="38" t="n">
        <v/>
      </c>
      <c r="N119" s="38" t="n">
        <v>-0.015</v>
      </c>
      <c r="O119" s="38" t="n">
        <v>-873.827</v>
      </c>
      <c r="P119" s="38" t="n">
        <v/>
      </c>
      <c r="Q119" s="38" t="n">
        <v>-157.3</v>
      </c>
      <c r="R119" s="38" t="n">
        <v>73110.428</v>
      </c>
      <c r="S119" s="38" t="n">
        <v>48228.562</v>
      </c>
      <c r="T119" s="38" t="n">
        <v>24881.866</v>
      </c>
      <c r="U119" s="38" t="n">
        <v>5118.158</v>
      </c>
      <c r="V119" s="38" t="n">
        <v>5118.158</v>
      </c>
      <c r="W119" s="38" t="n">
        <v>0</v>
      </c>
    </row>
    <row r="120">
      <c r="A120" s="35" t="inlineStr">
        <is>
          <t>2004-08</t>
        </is>
      </c>
      <c r="B120" s="35" t="n">
        <v>2004</v>
      </c>
      <c r="C120" s="35" t="n">
        <v>8</v>
      </c>
      <c r="D120" s="36" t="n">
        <v>-6315.302</v>
      </c>
      <c r="E120" s="36" t="n">
        <v>-1.282</v>
      </c>
      <c r="F120" s="36" t="n">
        <v>7339.001</v>
      </c>
      <c r="G120" s="36" t="n">
        <v/>
      </c>
      <c r="H120" s="36" t="n">
        <v/>
      </c>
      <c r="I120" s="36" t="n">
        <v>-512.5359999999999</v>
      </c>
      <c r="J120" s="36" t="n">
        <v/>
      </c>
      <c r="K120" s="36" t="n">
        <v/>
      </c>
      <c r="L120" s="36" t="n">
        <v/>
      </c>
      <c r="M120" s="36" t="n">
        <v/>
      </c>
      <c r="N120" s="36" t="n">
        <v>-0.521</v>
      </c>
      <c r="O120" s="36" t="n">
        <v>-1452.362</v>
      </c>
      <c r="P120" s="36" t="n">
        <v/>
      </c>
      <c r="Q120" s="36" t="n">
        <v>33.858</v>
      </c>
      <c r="R120" s="36" t="n">
        <v>72201.284</v>
      </c>
      <c r="S120" s="36" t="n">
        <v>48064.055</v>
      </c>
      <c r="T120" s="36" t="n">
        <v>24137.229</v>
      </c>
      <c r="U120" s="36" t="n">
        <v>-909.144</v>
      </c>
      <c r="V120" s="36" t="n">
        <v>-909.144</v>
      </c>
      <c r="W120" s="36" t="n">
        <v>0</v>
      </c>
    </row>
    <row r="121">
      <c r="A121" s="37" t="inlineStr">
        <is>
          <t>2004-09</t>
        </is>
      </c>
      <c r="B121" s="37" t="n">
        <v>2004</v>
      </c>
      <c r="C121" s="37" t="n">
        <v>9</v>
      </c>
      <c r="D121" s="38" t="n">
        <v>-3851.654</v>
      </c>
      <c r="E121" s="38" t="n">
        <v>-15.415</v>
      </c>
      <c r="F121" s="38" t="n">
        <v>4442.534</v>
      </c>
      <c r="G121" s="38" t="n">
        <v/>
      </c>
      <c r="H121" s="38" t="n">
        <v/>
      </c>
      <c r="I121" s="38" t="n">
        <v>-325.452</v>
      </c>
      <c r="J121" s="38" t="n">
        <v/>
      </c>
      <c r="K121" s="38" t="n">
        <v/>
      </c>
      <c r="L121" s="38" t="n">
        <v/>
      </c>
      <c r="M121" s="38" t="n">
        <v/>
      </c>
      <c r="N121" s="38" t="n">
        <v>3.658</v>
      </c>
      <c r="O121" s="38" t="n">
        <v>-1354.575</v>
      </c>
      <c r="P121" s="38" t="n">
        <v/>
      </c>
      <c r="Q121" s="38" t="n">
        <v>-145.119</v>
      </c>
      <c r="R121" s="38" t="n">
        <v>70955.261</v>
      </c>
      <c r="S121" s="38" t="n">
        <v>49826.634</v>
      </c>
      <c r="T121" s="38" t="n">
        <v>21128.627</v>
      </c>
      <c r="U121" s="38" t="n">
        <v>-1246.023</v>
      </c>
      <c r="V121" s="38" t="n">
        <v>-1246.023</v>
      </c>
      <c r="W121" s="38" t="n">
        <v>0</v>
      </c>
    </row>
    <row r="122">
      <c r="A122" s="35" t="inlineStr">
        <is>
          <t>2004-10</t>
        </is>
      </c>
      <c r="B122" s="35" t="n">
        <v>2004</v>
      </c>
      <c r="C122" s="35" t="n">
        <v>10</v>
      </c>
      <c r="D122" s="36" t="n">
        <v>-3019.296</v>
      </c>
      <c r="E122" s="36" t="n">
        <v>-4.727</v>
      </c>
      <c r="F122" s="36" t="n">
        <v>4282.806</v>
      </c>
      <c r="G122" s="36" t="n">
        <v/>
      </c>
      <c r="H122" s="36" t="n">
        <v/>
      </c>
      <c r="I122" s="36" t="n">
        <v>-444.831</v>
      </c>
      <c r="J122" s="36" t="n">
        <v/>
      </c>
      <c r="K122" s="36" t="n">
        <v/>
      </c>
      <c r="L122" s="36" t="n">
        <v/>
      </c>
      <c r="M122" s="36" t="n">
        <v/>
      </c>
      <c r="N122" s="36" t="n">
        <v>-2.047</v>
      </c>
      <c r="O122" s="36" t="n">
        <v>-82.874</v>
      </c>
      <c r="P122" s="36" t="n">
        <v/>
      </c>
      <c r="Q122" s="36" t="n">
        <v>-11.81</v>
      </c>
      <c r="R122" s="36" t="n">
        <v>71672.482</v>
      </c>
      <c r="S122" s="36" t="n">
        <v>50770.633</v>
      </c>
      <c r="T122" s="36" t="n">
        <v>20901.849</v>
      </c>
      <c r="U122" s="36" t="n">
        <v>717.221</v>
      </c>
      <c r="V122" s="36" t="n">
        <v>717.221</v>
      </c>
      <c r="W122" s="36" t="n">
        <v>0</v>
      </c>
    </row>
    <row r="123">
      <c r="A123" s="37" t="inlineStr">
        <is>
          <t>2004-11</t>
        </is>
      </c>
      <c r="B123" s="37" t="n">
        <v>2004</v>
      </c>
      <c r="C123" s="37" t="n">
        <v>11</v>
      </c>
      <c r="D123" s="38" t="n">
        <v>-1224.937</v>
      </c>
      <c r="E123" s="38" t="n">
        <v>8.848000000000001</v>
      </c>
      <c r="F123" s="38" t="n">
        <v>6295.184</v>
      </c>
      <c r="G123" s="38" t="n">
        <v/>
      </c>
      <c r="H123" s="38" t="n">
        <v/>
      </c>
      <c r="I123" s="38" t="n">
        <v>110.136</v>
      </c>
      <c r="J123" s="38" t="n">
        <v/>
      </c>
      <c r="K123" s="38" t="n">
        <v/>
      </c>
      <c r="L123" s="38" t="n">
        <v/>
      </c>
      <c r="M123" s="38" t="n">
        <v/>
      </c>
      <c r="N123" s="38" t="n">
        <v>-0.947</v>
      </c>
      <c r="O123" s="38" t="n">
        <v>-1827.722</v>
      </c>
      <c r="P123" s="38" t="n">
        <v/>
      </c>
      <c r="Q123" s="38" t="n">
        <v>64.557</v>
      </c>
      <c r="R123" s="38" t="n">
        <v>75097.601</v>
      </c>
      <c r="S123" s="38" t="n">
        <v>52152.496</v>
      </c>
      <c r="T123" s="38" t="n">
        <v>22945.105</v>
      </c>
      <c r="U123" s="38" t="n">
        <v>3425.119</v>
      </c>
      <c r="V123" s="38" t="n">
        <v>3425.119</v>
      </c>
      <c r="W123" s="38" t="n">
        <v>0</v>
      </c>
    </row>
    <row r="124">
      <c r="A124" s="35" t="inlineStr">
        <is>
          <t>2004-12</t>
        </is>
      </c>
      <c r="B124" s="35" t="n">
        <v>2004</v>
      </c>
      <c r="C124" s="35" t="n">
        <v>12</v>
      </c>
      <c r="D124" s="36" t="n">
        <v>-2788.872</v>
      </c>
      <c r="E124" s="36" t="n">
        <v>7186.047</v>
      </c>
      <c r="F124" s="36" t="n">
        <v>12183.568</v>
      </c>
      <c r="G124" s="36" t="n">
        <v/>
      </c>
      <c r="H124" s="36" t="n">
        <v/>
      </c>
      <c r="I124" s="36" t="n">
        <v>-1577.674</v>
      </c>
      <c r="J124" s="36" t="n">
        <v/>
      </c>
      <c r="K124" s="36" t="n">
        <v/>
      </c>
      <c r="L124" s="36" t="n">
        <v/>
      </c>
      <c r="M124" s="36" t="n">
        <v/>
      </c>
      <c r="N124" s="36" t="n">
        <v>-1.331</v>
      </c>
      <c r="O124" s="36" t="n">
        <v>-1581.56</v>
      </c>
      <c r="P124" s="36" t="n">
        <v/>
      </c>
      <c r="Q124" s="36" t="n">
        <v>214.898</v>
      </c>
      <c r="R124" s="36" t="n">
        <v>88732.677</v>
      </c>
      <c r="S124" s="36" t="n">
        <v>61935.635</v>
      </c>
      <c r="T124" s="36" t="n">
        <v>26797.042</v>
      </c>
      <c r="U124" s="36" t="n">
        <v>13635.076</v>
      </c>
      <c r="V124" s="36" t="n">
        <v>13635.076</v>
      </c>
      <c r="W124" s="36" t="n">
        <v>0</v>
      </c>
    </row>
    <row r="125">
      <c r="A125" s="37" t="inlineStr">
        <is>
          <t>2005-01</t>
        </is>
      </c>
      <c r="B125" s="37" t="n">
        <v>2005</v>
      </c>
      <c r="C125" s="37" t="n">
        <v>1</v>
      </c>
      <c r="D125" s="38" t="n">
        <v>2988.432</v>
      </c>
      <c r="E125" s="38" t="n">
        <v>6875.884</v>
      </c>
      <c r="F125" s="38" t="n">
        <v>-14841.025</v>
      </c>
      <c r="G125" s="38" t="n">
        <v/>
      </c>
      <c r="H125" s="38" t="n">
        <v/>
      </c>
      <c r="I125" s="38" t="n">
        <v>388.137</v>
      </c>
      <c r="J125" s="38" t="n">
        <v/>
      </c>
      <c r="K125" s="38" t="n">
        <v/>
      </c>
      <c r="L125" s="38" t="n">
        <v/>
      </c>
      <c r="M125" s="38" t="n">
        <v/>
      </c>
      <c r="N125" s="38" t="n">
        <v>21.787</v>
      </c>
      <c r="O125" s="38" t="n">
        <v>-716.974</v>
      </c>
      <c r="P125" s="38" t="n">
        <v/>
      </c>
      <c r="Q125" s="38" t="n">
        <v>22.417</v>
      </c>
      <c r="R125" s="38" t="n">
        <v>83471.33500000001</v>
      </c>
      <c r="S125" s="38" t="n">
        <v>55647.16</v>
      </c>
      <c r="T125" s="38" t="n">
        <v>27824.175</v>
      </c>
      <c r="U125" s="38" t="n">
        <v>-5261.342</v>
      </c>
      <c r="V125" s="38" t="n">
        <v>-5261.342</v>
      </c>
      <c r="W125" s="38" t="n">
        <v>0</v>
      </c>
    </row>
    <row r="126">
      <c r="A126" s="35" t="inlineStr">
        <is>
          <t>2005-02</t>
        </is>
      </c>
      <c r="B126" s="35" t="n">
        <v>2005</v>
      </c>
      <c r="C126" s="35" t="n">
        <v>2</v>
      </c>
      <c r="D126" s="36" t="n">
        <v>-6814.536</v>
      </c>
      <c r="E126" s="36" t="n">
        <v>9575.567999999999</v>
      </c>
      <c r="F126" s="36" t="n">
        <v>-7080.286</v>
      </c>
      <c r="G126" s="36" t="n">
        <v/>
      </c>
      <c r="H126" s="36" t="n">
        <v/>
      </c>
      <c r="I126" s="36" t="n">
        <v>311.541</v>
      </c>
      <c r="J126" s="36" t="n">
        <v/>
      </c>
      <c r="K126" s="36" t="n">
        <v/>
      </c>
      <c r="L126" s="36" t="n">
        <v/>
      </c>
      <c r="M126" s="36" t="n">
        <v/>
      </c>
      <c r="N126" s="36" t="n">
        <v>-23.591</v>
      </c>
      <c r="O126" s="36" t="n">
        <v>-517.698</v>
      </c>
      <c r="P126" s="36" t="n">
        <v/>
      </c>
      <c r="Q126" s="36" t="n">
        <v>193.548</v>
      </c>
      <c r="R126" s="36" t="n">
        <v>79115.88099999999</v>
      </c>
      <c r="S126" s="36" t="n">
        <v>54393.943</v>
      </c>
      <c r="T126" s="36" t="n">
        <v>24721.938</v>
      </c>
      <c r="U126" s="36" t="n">
        <v>-4355.454</v>
      </c>
      <c r="V126" s="36" t="n">
        <v>-4355.454</v>
      </c>
      <c r="W126" s="36" t="n">
        <v>0</v>
      </c>
    </row>
    <row r="127">
      <c r="A127" s="37" t="inlineStr">
        <is>
          <t>2005-03</t>
        </is>
      </c>
      <c r="B127" s="37" t="n">
        <v>2005</v>
      </c>
      <c r="C127" s="37" t="n">
        <v>3</v>
      </c>
      <c r="D127" s="38" t="n">
        <v>-7317.291</v>
      </c>
      <c r="E127" s="38" t="n">
        <v>10568.692</v>
      </c>
      <c r="F127" s="38" t="n">
        <v>-4458.159</v>
      </c>
      <c r="G127" s="38" t="n">
        <v/>
      </c>
      <c r="H127" s="38" t="n">
        <v/>
      </c>
      <c r="I127" s="38" t="n">
        <v>324.302</v>
      </c>
      <c r="J127" s="38" t="n">
        <v/>
      </c>
      <c r="K127" s="38" t="n">
        <v/>
      </c>
      <c r="L127" s="38" t="n">
        <v/>
      </c>
      <c r="M127" s="38" t="n">
        <v/>
      </c>
      <c r="N127" s="38" t="n">
        <v>-0.002</v>
      </c>
      <c r="O127" s="38" t="n">
        <v>163.975</v>
      </c>
      <c r="P127" s="38" t="n">
        <v/>
      </c>
      <c r="Q127" s="38" t="n">
        <v>-120.957</v>
      </c>
      <c r="R127" s="38" t="n">
        <v>78276.44100000001</v>
      </c>
      <c r="S127" s="38" t="n">
        <v>53295.041</v>
      </c>
      <c r="T127" s="38" t="n">
        <v>24981.4</v>
      </c>
      <c r="U127" s="38" t="n">
        <v>-839.4400000000001</v>
      </c>
      <c r="V127" s="38" t="n">
        <v>-839.4400000000001</v>
      </c>
      <c r="W127" s="38" t="n">
        <v>0</v>
      </c>
    </row>
    <row r="128">
      <c r="A128" s="35" t="inlineStr">
        <is>
          <t>2005-04</t>
        </is>
      </c>
      <c r="B128" s="35" t="n">
        <v>2005</v>
      </c>
      <c r="C128" s="35" t="n">
        <v>4</v>
      </c>
      <c r="D128" s="36" t="n">
        <v>-10969.199</v>
      </c>
      <c r="E128" s="36" t="n">
        <v>-7.338</v>
      </c>
      <c r="F128" s="36" t="n">
        <v>10711.995</v>
      </c>
      <c r="G128" s="36" t="n">
        <v/>
      </c>
      <c r="H128" s="36" t="n">
        <v/>
      </c>
      <c r="I128" s="36" t="n">
        <v>-106.248</v>
      </c>
      <c r="J128" s="36" t="n">
        <v/>
      </c>
      <c r="K128" s="36" t="n">
        <v/>
      </c>
      <c r="L128" s="36" t="n">
        <v/>
      </c>
      <c r="M128" s="36" t="n">
        <v/>
      </c>
      <c r="N128" s="36" t="n">
        <v>-0.207</v>
      </c>
      <c r="O128" s="36" t="n">
        <v>-187.075</v>
      </c>
      <c r="P128" s="36" t="n">
        <v/>
      </c>
      <c r="Q128" s="36" t="n">
        <v>73.605</v>
      </c>
      <c r="R128" s="36" t="n">
        <v>77791.974</v>
      </c>
      <c r="S128" s="36" t="n">
        <v>53174.65</v>
      </c>
      <c r="T128" s="36" t="n">
        <v>24617.324</v>
      </c>
      <c r="U128" s="36" t="n">
        <v>-484.467</v>
      </c>
      <c r="V128" s="36" t="n">
        <v>-484.467</v>
      </c>
      <c r="W128" s="36" t="n">
        <v>0</v>
      </c>
    </row>
    <row r="129">
      <c r="A129" s="37" t="inlineStr">
        <is>
          <t>2005-05</t>
        </is>
      </c>
      <c r="B129" s="37" t="n">
        <v>2005</v>
      </c>
      <c r="C129" s="37" t="n">
        <v>5</v>
      </c>
      <c r="D129" s="38" t="n">
        <v>-4913.752</v>
      </c>
      <c r="E129" s="38" t="n">
        <v>-1.35</v>
      </c>
      <c r="F129" s="38" t="n">
        <v>4851.55</v>
      </c>
      <c r="G129" s="38" t="n">
        <v/>
      </c>
      <c r="H129" s="38" t="n">
        <v/>
      </c>
      <c r="I129" s="38" t="n">
        <v>1690.562</v>
      </c>
      <c r="J129" s="38" t="n">
        <v/>
      </c>
      <c r="K129" s="38" t="n">
        <v/>
      </c>
      <c r="L129" s="38" t="n">
        <v/>
      </c>
      <c r="M129" s="38" t="n">
        <v/>
      </c>
      <c r="N129" s="38" t="n">
        <v>-0.356</v>
      </c>
      <c r="O129" s="38" t="n">
        <v>-236.769</v>
      </c>
      <c r="P129" s="38" t="n">
        <v/>
      </c>
      <c r="Q129" s="38" t="n">
        <v>549.3049999999999</v>
      </c>
      <c r="R129" s="38" t="n">
        <v>79731.164</v>
      </c>
      <c r="S129" s="38" t="n">
        <v>53034.047</v>
      </c>
      <c r="T129" s="38" t="n">
        <v>26697.117</v>
      </c>
      <c r="U129" s="38" t="n">
        <v>1939.19</v>
      </c>
      <c r="V129" s="38" t="n">
        <v>1939.19</v>
      </c>
      <c r="W129" s="38" t="n">
        <v>0</v>
      </c>
    </row>
    <row r="130">
      <c r="A130" s="35" t="inlineStr">
        <is>
          <t>2005-06</t>
        </is>
      </c>
      <c r="B130" s="35" t="n">
        <v>2005</v>
      </c>
      <c r="C130" s="35" t="n">
        <v>6</v>
      </c>
      <c r="D130" s="36" t="n">
        <v>-915.643</v>
      </c>
      <c r="E130" s="36" t="n">
        <v>-2.53</v>
      </c>
      <c r="F130" s="36" t="n">
        <v>-298.237</v>
      </c>
      <c r="G130" s="36" t="n">
        <v/>
      </c>
      <c r="H130" s="36" t="n">
        <v/>
      </c>
      <c r="I130" s="36" t="n">
        <v>-10.19</v>
      </c>
      <c r="J130" s="36" t="n">
        <v/>
      </c>
      <c r="K130" s="36" t="n">
        <v/>
      </c>
      <c r="L130" s="36" t="n">
        <v/>
      </c>
      <c r="M130" s="36" t="n">
        <v/>
      </c>
      <c r="N130" s="36" t="n">
        <v>-0.339</v>
      </c>
      <c r="O130" s="36" t="n">
        <v>-46.488</v>
      </c>
      <c r="P130" s="36" t="n">
        <v/>
      </c>
      <c r="Q130" s="36" t="n">
        <v>36.438</v>
      </c>
      <c r="R130" s="36" t="n">
        <v>78494.175</v>
      </c>
      <c r="S130" s="36" t="n">
        <v>53931.04</v>
      </c>
      <c r="T130" s="36" t="n">
        <v>24563.135</v>
      </c>
      <c r="U130" s="36" t="n">
        <v>-1236.989</v>
      </c>
      <c r="V130" s="36" t="n">
        <v>-1236.989</v>
      </c>
      <c r="W130" s="36" t="n">
        <v>0</v>
      </c>
    </row>
    <row r="131">
      <c r="A131" s="37" t="inlineStr">
        <is>
          <t>2005-07</t>
        </is>
      </c>
      <c r="B131" s="37" t="n">
        <v>2005</v>
      </c>
      <c r="C131" s="37" t="n">
        <v>7</v>
      </c>
      <c r="D131" s="38" t="n">
        <v>1695.868</v>
      </c>
      <c r="E131" s="38" t="n">
        <v>-18.261</v>
      </c>
      <c r="F131" s="38" t="n">
        <v>879.057</v>
      </c>
      <c r="G131" s="38" t="n">
        <v/>
      </c>
      <c r="H131" s="38" t="n">
        <v/>
      </c>
      <c r="I131" s="38" t="n">
        <v>-429.498</v>
      </c>
      <c r="J131" s="38" t="n">
        <v/>
      </c>
      <c r="K131" s="38" t="n">
        <v/>
      </c>
      <c r="L131" s="38" t="n">
        <v/>
      </c>
      <c r="M131" s="38" t="n">
        <v/>
      </c>
      <c r="N131" s="38" t="n">
        <v>-0.051</v>
      </c>
      <c r="O131" s="38" t="n">
        <v>-8.786</v>
      </c>
      <c r="P131" s="38" t="n">
        <v/>
      </c>
      <c r="Q131" s="38" t="n">
        <v>-328.928</v>
      </c>
      <c r="R131" s="38" t="n">
        <v>80283.576</v>
      </c>
      <c r="S131" s="38" t="n">
        <v>55627.479</v>
      </c>
      <c r="T131" s="38" t="n">
        <v>24656.097</v>
      </c>
      <c r="U131" s="38" t="n">
        <v>1789.401</v>
      </c>
      <c r="V131" s="38" t="n">
        <v>1789.401</v>
      </c>
      <c r="W131" s="38" t="n">
        <v>0</v>
      </c>
    </row>
    <row r="132">
      <c r="A132" s="35" t="inlineStr">
        <is>
          <t>2005-08</t>
        </is>
      </c>
      <c r="B132" s="35" t="n">
        <v>2005</v>
      </c>
      <c r="C132" s="35" t="n">
        <v>8</v>
      </c>
      <c r="D132" s="36" t="n">
        <v>-2145.214</v>
      </c>
      <c r="E132" s="36" t="n">
        <v>12.416</v>
      </c>
      <c r="F132" s="36" t="n">
        <v>335.614</v>
      </c>
      <c r="G132" s="36" t="n">
        <v/>
      </c>
      <c r="H132" s="36" t="n">
        <v/>
      </c>
      <c r="I132" s="36" t="n">
        <v>1147.949</v>
      </c>
      <c r="J132" s="36" t="n">
        <v/>
      </c>
      <c r="K132" s="36" t="n">
        <v/>
      </c>
      <c r="L132" s="36" t="n">
        <v/>
      </c>
      <c r="M132" s="36" t="n">
        <v/>
      </c>
      <c r="N132" s="36" t="n">
        <v>-0.022</v>
      </c>
      <c r="O132" s="36" t="n">
        <v>-33.29</v>
      </c>
      <c r="P132" s="36" t="n">
        <v/>
      </c>
      <c r="Q132" s="36" t="n">
        <v>219.025</v>
      </c>
      <c r="R132" s="36" t="n">
        <v>79820.054</v>
      </c>
      <c r="S132" s="36" t="n">
        <v>55037.412</v>
      </c>
      <c r="T132" s="36" t="n">
        <v>24782.642</v>
      </c>
      <c r="U132" s="36" t="n">
        <v>-463.522</v>
      </c>
      <c r="V132" s="36" t="n">
        <v>-463.522</v>
      </c>
      <c r="W132" s="36" t="n">
        <v>0</v>
      </c>
    </row>
    <row r="133">
      <c r="A133" s="37" t="inlineStr">
        <is>
          <t>2005-09</t>
        </is>
      </c>
      <c r="B133" s="37" t="n">
        <v>2005</v>
      </c>
      <c r="C133" s="37" t="n">
        <v>9</v>
      </c>
      <c r="D133" s="38" t="n">
        <v>237.805</v>
      </c>
      <c r="E133" s="38" t="n">
        <v>-12.003</v>
      </c>
      <c r="F133" s="38" t="n">
        <v>572.972</v>
      </c>
      <c r="G133" s="38" t="n">
        <v/>
      </c>
      <c r="H133" s="38" t="n">
        <v/>
      </c>
      <c r="I133" s="38" t="n">
        <v>-63.91</v>
      </c>
      <c r="J133" s="38" t="n">
        <v/>
      </c>
      <c r="K133" s="38" t="n">
        <v/>
      </c>
      <c r="L133" s="38" t="n">
        <v/>
      </c>
      <c r="M133" s="38" t="n">
        <v/>
      </c>
      <c r="N133" s="38" t="n">
        <v>-0.347</v>
      </c>
      <c r="O133" s="38" t="n">
        <v>-312.47</v>
      </c>
      <c r="P133" s="38" t="n">
        <v/>
      </c>
      <c r="Q133" s="38" t="n">
        <v>-136.53</v>
      </c>
      <c r="R133" s="38" t="n">
        <v>80105.571</v>
      </c>
      <c r="S133" s="38" t="n">
        <v>56352.15</v>
      </c>
      <c r="T133" s="38" t="n">
        <v>23753.421</v>
      </c>
      <c r="U133" s="38" t="n">
        <v>285.517</v>
      </c>
      <c r="V133" s="38" t="n">
        <v>285.517</v>
      </c>
      <c r="W133" s="38" t="n">
        <v>0</v>
      </c>
    </row>
    <row r="134">
      <c r="A134" s="35" t="inlineStr">
        <is>
          <t>2005-10</t>
        </is>
      </c>
      <c r="B134" s="35" t="n">
        <v>2005</v>
      </c>
      <c r="C134" s="35" t="n">
        <v>10</v>
      </c>
      <c r="D134" s="36" t="n">
        <v>-5559.222</v>
      </c>
      <c r="E134" s="36" t="n">
        <v>7593.231</v>
      </c>
      <c r="F134" s="36" t="n">
        <v>-3085.116</v>
      </c>
      <c r="G134" s="36" t="n">
        <v/>
      </c>
      <c r="H134" s="36" t="n">
        <v/>
      </c>
      <c r="I134" s="36" t="n">
        <v>966.925</v>
      </c>
      <c r="J134" s="36" t="n">
        <v/>
      </c>
      <c r="K134" s="36" t="n">
        <v/>
      </c>
      <c r="L134" s="36" t="n">
        <v/>
      </c>
      <c r="M134" s="36" t="n">
        <v/>
      </c>
      <c r="N134" s="36" t="n">
        <v>-0.045</v>
      </c>
      <c r="O134" s="36" t="n">
        <v>-145.186</v>
      </c>
      <c r="P134" s="36" t="n">
        <v/>
      </c>
      <c r="Q134" s="36" t="n">
        <v>10.804</v>
      </c>
      <c r="R134" s="36" t="n">
        <v>79886.962</v>
      </c>
      <c r="S134" s="36" t="n">
        <v>57231.946</v>
      </c>
      <c r="T134" s="36" t="n">
        <v>22655.016</v>
      </c>
      <c r="U134" s="36" t="n">
        <v>-218.609</v>
      </c>
      <c r="V134" s="36" t="n">
        <v>-218.609</v>
      </c>
      <c r="W134" s="36" t="n">
        <v>0</v>
      </c>
    </row>
    <row r="135">
      <c r="A135" s="37" t="inlineStr">
        <is>
          <t>2005-11</t>
        </is>
      </c>
      <c r="B135" s="37" t="n">
        <v>2005</v>
      </c>
      <c r="C135" s="37" t="n">
        <v>11</v>
      </c>
      <c r="D135" s="38" t="n">
        <v>-7775.377</v>
      </c>
      <c r="E135" s="38" t="n">
        <v>8549.513000000001</v>
      </c>
      <c r="F135" s="38" t="n">
        <v>5274.672</v>
      </c>
      <c r="G135" s="38" t="n">
        <v/>
      </c>
      <c r="H135" s="38" t="n">
        <v/>
      </c>
      <c r="I135" s="38" t="n">
        <v>81.764</v>
      </c>
      <c r="J135" s="38" t="n">
        <v/>
      </c>
      <c r="K135" s="38" t="n">
        <v/>
      </c>
      <c r="L135" s="38" t="n">
        <v/>
      </c>
      <c r="M135" s="38" t="n">
        <v/>
      </c>
      <c r="N135" s="38" t="n">
        <v>-0.068</v>
      </c>
      <c r="O135" s="38" t="n">
        <v>-471.598</v>
      </c>
      <c r="P135" s="38" t="n">
        <v/>
      </c>
      <c r="Q135" s="38" t="n">
        <v>-30.598</v>
      </c>
      <c r="R135" s="38" t="n">
        <v>85515.27</v>
      </c>
      <c r="S135" s="38" t="n">
        <v>59440.29</v>
      </c>
      <c r="T135" s="38" t="n">
        <v>26074.98</v>
      </c>
      <c r="U135" s="38" t="n">
        <v>5628.308</v>
      </c>
      <c r="V135" s="38" t="n">
        <v>5628.308</v>
      </c>
      <c r="W135" s="38" t="n">
        <v>0</v>
      </c>
    </row>
    <row r="136">
      <c r="A136" s="35" t="inlineStr">
        <is>
          <t>2005-12</t>
        </is>
      </c>
      <c r="B136" s="35" t="n">
        <v>2005</v>
      </c>
      <c r="C136" s="35" t="n">
        <v>12</v>
      </c>
      <c r="D136" s="36" t="n">
        <v>-1519.602</v>
      </c>
      <c r="E136" s="36" t="n">
        <v>9261.061</v>
      </c>
      <c r="F136" s="36" t="n">
        <v>9945.445</v>
      </c>
      <c r="G136" s="36" t="n">
        <v/>
      </c>
      <c r="H136" s="36" t="n">
        <v/>
      </c>
      <c r="I136" s="36" t="n">
        <v>-1927.55</v>
      </c>
      <c r="J136" s="36" t="n">
        <v/>
      </c>
      <c r="K136" s="36" t="n">
        <v/>
      </c>
      <c r="L136" s="36" t="n">
        <v/>
      </c>
      <c r="M136" s="36" t="n">
        <v/>
      </c>
      <c r="N136" s="36" t="n">
        <v>-0.102</v>
      </c>
      <c r="O136" s="36" t="n">
        <v>-172.064</v>
      </c>
      <c r="P136" s="36" t="n">
        <v/>
      </c>
      <c r="Q136" s="36" t="n">
        <v>144.777</v>
      </c>
      <c r="R136" s="36" t="n">
        <v>101247.235</v>
      </c>
      <c r="S136" s="36" t="n">
        <v>70033.641</v>
      </c>
      <c r="T136" s="36" t="n">
        <v>31213.594</v>
      </c>
      <c r="U136" s="36" t="n">
        <v>15731.965</v>
      </c>
      <c r="V136" s="36" t="n">
        <v>15731.965</v>
      </c>
      <c r="W136" s="36" t="n">
        <v>0</v>
      </c>
    </row>
    <row r="137">
      <c r="A137" s="37" t="inlineStr">
        <is>
          <t>2006-01</t>
        </is>
      </c>
      <c r="B137" s="37" t="n">
        <v>2006</v>
      </c>
      <c r="C137" s="37" t="n">
        <v>1</v>
      </c>
      <c r="D137" s="38" t="n">
        <v>9867.529</v>
      </c>
      <c r="E137" s="38" t="n">
        <v>5541.433</v>
      </c>
      <c r="F137" s="38" t="n">
        <v>-26577.506</v>
      </c>
      <c r="G137" s="38" t="n">
        <v/>
      </c>
      <c r="H137" s="38" t="n">
        <v/>
      </c>
      <c r="I137" s="38" t="n">
        <v>754.948</v>
      </c>
      <c r="J137" s="38" t="n">
        <v/>
      </c>
      <c r="K137" s="38" t="n">
        <v/>
      </c>
      <c r="L137" s="38" t="n">
        <v/>
      </c>
      <c r="M137" s="38" t="n">
        <v/>
      </c>
      <c r="N137" s="38" t="n">
        <v>-0.273</v>
      </c>
      <c r="O137" s="38" t="n">
        <v>1773.425</v>
      </c>
      <c r="P137" s="38" t="n">
        <v/>
      </c>
      <c r="Q137" s="38" t="n">
        <v>236.271</v>
      </c>
      <c r="R137" s="38" t="n">
        <v>92843.06200000001</v>
      </c>
      <c r="S137" s="38" t="n">
        <v>62265.028</v>
      </c>
      <c r="T137" s="38" t="n">
        <v>30578.034</v>
      </c>
      <c r="U137" s="38" t="n">
        <v>-8404.173000000001</v>
      </c>
      <c r="V137" s="38" t="n">
        <v>-8404.173000000001</v>
      </c>
      <c r="W137" s="38" t="n">
        <v>0</v>
      </c>
    </row>
    <row r="138">
      <c r="A138" s="35" t="inlineStr">
        <is>
          <t>2006-02</t>
        </is>
      </c>
      <c r="B138" s="35" t="n">
        <v>2006</v>
      </c>
      <c r="C138" s="35" t="n">
        <v>2</v>
      </c>
      <c r="D138" s="36" t="n">
        <v>-8266.866</v>
      </c>
      <c r="E138" s="36" t="n">
        <v>5156.073</v>
      </c>
      <c r="F138" s="36" t="n">
        <v>3477.929</v>
      </c>
      <c r="G138" s="36" t="n">
        <v/>
      </c>
      <c r="H138" s="36" t="n">
        <v/>
      </c>
      <c r="I138" s="36" t="n">
        <v>61.993</v>
      </c>
      <c r="J138" s="36" t="n">
        <v/>
      </c>
      <c r="K138" s="36" t="n">
        <v/>
      </c>
      <c r="L138" s="36" t="n">
        <v/>
      </c>
      <c r="M138" s="36" t="n">
        <v/>
      </c>
      <c r="N138" s="36" t="n">
        <v>-0.104</v>
      </c>
      <c r="O138" s="36" t="n">
        <v>1348.507</v>
      </c>
      <c r="P138" s="36" t="n">
        <v/>
      </c>
      <c r="Q138" s="36" t="n">
        <v>6.644</v>
      </c>
      <c r="R138" s="36" t="n">
        <v>94627.238</v>
      </c>
      <c r="S138" s="36" t="n">
        <v>64861.545</v>
      </c>
      <c r="T138" s="36" t="n">
        <v>29765.693</v>
      </c>
      <c r="U138" s="36" t="n">
        <v>1784.176</v>
      </c>
      <c r="V138" s="36" t="n">
        <v>1784.176</v>
      </c>
      <c r="W138" s="36" t="n">
        <v>0</v>
      </c>
    </row>
    <row r="139">
      <c r="A139" s="37" t="inlineStr">
        <is>
          <t>2006-03</t>
        </is>
      </c>
      <c r="B139" s="37" t="n">
        <v>2006</v>
      </c>
      <c r="C139" s="37" t="n">
        <v>3</v>
      </c>
      <c r="D139" s="38" t="n">
        <v>-9465.496999999999</v>
      </c>
      <c r="E139" s="38" t="n">
        <v>6567.029</v>
      </c>
      <c r="F139" s="38" t="n">
        <v>-3156.842</v>
      </c>
      <c r="G139" s="38" t="n">
        <v/>
      </c>
      <c r="H139" s="38" t="n">
        <v/>
      </c>
      <c r="I139" s="38" t="n">
        <v>688.2</v>
      </c>
      <c r="J139" s="38" t="n">
        <v/>
      </c>
      <c r="K139" s="38" t="n">
        <v/>
      </c>
      <c r="L139" s="38" t="n">
        <v/>
      </c>
      <c r="M139" s="38" t="n">
        <v/>
      </c>
      <c r="N139" s="38" t="n">
        <v>34.852</v>
      </c>
      <c r="O139" s="38" t="n">
        <v>-614.535</v>
      </c>
      <c r="P139" s="38" t="n">
        <v/>
      </c>
      <c r="Q139" s="38" t="n">
        <v>54.854</v>
      </c>
      <c r="R139" s="38" t="n">
        <v>88735.299</v>
      </c>
      <c r="S139" s="38" t="n">
        <v>60667.366</v>
      </c>
      <c r="T139" s="38" t="n">
        <v>28067.933</v>
      </c>
      <c r="U139" s="38" t="n">
        <v>-5891.939</v>
      </c>
      <c r="V139" s="38" t="n">
        <v>-5891.939</v>
      </c>
      <c r="W139" s="38" t="n">
        <v>0</v>
      </c>
    </row>
    <row r="140">
      <c r="A140" s="35" t="inlineStr">
        <is>
          <t>2006-04</t>
        </is>
      </c>
      <c r="B140" s="35" t="n">
        <v>2006</v>
      </c>
      <c r="C140" s="35" t="n">
        <v>4</v>
      </c>
      <c r="D140" s="36" t="n">
        <v>-7838.568</v>
      </c>
      <c r="E140" s="36" t="n">
        <v>4714.233</v>
      </c>
      <c r="F140" s="36" t="n">
        <v>1411.728</v>
      </c>
      <c r="G140" s="36" t="n">
        <v/>
      </c>
      <c r="H140" s="36" t="n">
        <v/>
      </c>
      <c r="I140" s="36" t="n">
        <v>-0.831</v>
      </c>
      <c r="J140" s="36" t="n">
        <v/>
      </c>
      <c r="K140" s="36" t="n">
        <v/>
      </c>
      <c r="L140" s="36" t="n">
        <v/>
      </c>
      <c r="M140" s="36" t="n">
        <v/>
      </c>
      <c r="N140" s="36" t="n">
        <v>-35.026</v>
      </c>
      <c r="O140" s="36" t="n">
        <v>1958.761</v>
      </c>
      <c r="P140" s="36" t="n">
        <v/>
      </c>
      <c r="Q140" s="36" t="n">
        <v>-32.87</v>
      </c>
      <c r="R140" s="36" t="n">
        <v>88912.726</v>
      </c>
      <c r="S140" s="36" t="n">
        <v>61966.202</v>
      </c>
      <c r="T140" s="36" t="n">
        <v>26946.524</v>
      </c>
      <c r="U140" s="36" t="n">
        <v>177.427</v>
      </c>
      <c r="V140" s="36" t="n">
        <v>177.427</v>
      </c>
      <c r="W140" s="36" t="n">
        <v>0</v>
      </c>
    </row>
    <row r="141">
      <c r="A141" s="37" t="inlineStr">
        <is>
          <t>2006-05</t>
        </is>
      </c>
      <c r="B141" s="37" t="n">
        <v>2006</v>
      </c>
      <c r="C141" s="37" t="n">
        <v>5</v>
      </c>
      <c r="D141" s="38" t="n">
        <v>-10245.023</v>
      </c>
      <c r="E141" s="38" t="n">
        <v>9053.913</v>
      </c>
      <c r="F141" s="38" t="n">
        <v>528.056</v>
      </c>
      <c r="G141" s="38" t="n">
        <v/>
      </c>
      <c r="H141" s="38" t="n">
        <v/>
      </c>
      <c r="I141" s="38" t="n">
        <v>1407.56</v>
      </c>
      <c r="J141" s="38" t="n">
        <v/>
      </c>
      <c r="K141" s="38" t="n">
        <v/>
      </c>
      <c r="L141" s="38" t="n">
        <v/>
      </c>
      <c r="M141" s="38" t="n">
        <v/>
      </c>
      <c r="N141" s="38" t="n">
        <v>1.882</v>
      </c>
      <c r="O141" s="38" t="n">
        <v>-3555.489</v>
      </c>
      <c r="P141" s="38" t="n">
        <v/>
      </c>
      <c r="Q141" s="38" t="n">
        <v>55.302</v>
      </c>
      <c r="R141" s="38" t="n">
        <v>86158.927</v>
      </c>
      <c r="S141" s="38" t="n">
        <v>61236.59</v>
      </c>
      <c r="T141" s="38" t="n">
        <v>24922.337</v>
      </c>
      <c r="U141" s="38" t="n">
        <v>-2753.799</v>
      </c>
      <c r="V141" s="38" t="n">
        <v>-2753.799</v>
      </c>
      <c r="W141" s="38" t="n">
        <v>0</v>
      </c>
    </row>
    <row r="142">
      <c r="A142" s="35" t="inlineStr">
        <is>
          <t>2006-06</t>
        </is>
      </c>
      <c r="B142" s="35" t="n">
        <v>2006</v>
      </c>
      <c r="C142" s="35" t="n">
        <v>6</v>
      </c>
      <c r="D142" s="36" t="n">
        <v>-6245.942</v>
      </c>
      <c r="E142" s="36" t="n">
        <v>-5.174</v>
      </c>
      <c r="F142" s="36" t="n">
        <v>13246.889</v>
      </c>
      <c r="G142" s="36" t="n">
        <v/>
      </c>
      <c r="H142" s="36" t="n">
        <v/>
      </c>
      <c r="I142" s="36" t="n">
        <v>-1487.164</v>
      </c>
      <c r="J142" s="36" t="n">
        <v/>
      </c>
      <c r="K142" s="36" t="n">
        <v/>
      </c>
      <c r="L142" s="36" t="n">
        <v/>
      </c>
      <c r="M142" s="36" t="n">
        <v/>
      </c>
      <c r="N142" s="36" t="n">
        <v>-2.471</v>
      </c>
      <c r="O142" s="36" t="n">
        <v>2853.496</v>
      </c>
      <c r="P142" s="36" t="n">
        <v/>
      </c>
      <c r="Q142" s="36" t="n">
        <v>116.316</v>
      </c>
      <c r="R142" s="36" t="n">
        <v>94634.87699999999</v>
      </c>
      <c r="S142" s="36" t="n">
        <v>63272.46</v>
      </c>
      <c r="T142" s="36" t="n">
        <v>31362.417</v>
      </c>
      <c r="U142" s="36" t="n">
        <v>8475.950000000001</v>
      </c>
      <c r="V142" s="36" t="n">
        <v>8475.950000000001</v>
      </c>
      <c r="W142" s="36" t="n">
        <v>0</v>
      </c>
    </row>
    <row r="143">
      <c r="A143" s="37" t="inlineStr">
        <is>
          <t>2006-07</t>
        </is>
      </c>
      <c r="B143" s="37" t="n">
        <v>2006</v>
      </c>
      <c r="C143" s="37" t="n">
        <v>7</v>
      </c>
      <c r="D143" s="38" t="n">
        <v>-28.981</v>
      </c>
      <c r="E143" s="38" t="n">
        <v>9626.194</v>
      </c>
      <c r="F143" s="38" t="n">
        <v>-10716.029</v>
      </c>
      <c r="G143" s="38" t="n">
        <v/>
      </c>
      <c r="H143" s="38" t="n">
        <v/>
      </c>
      <c r="I143" s="38" t="n">
        <v>585.452</v>
      </c>
      <c r="J143" s="38" t="n">
        <v/>
      </c>
      <c r="K143" s="38" t="n">
        <v/>
      </c>
      <c r="L143" s="38" t="n">
        <v/>
      </c>
      <c r="M143" s="38" t="n">
        <v/>
      </c>
      <c r="N143" s="38" t="n">
        <v>1.356</v>
      </c>
      <c r="O143" s="38" t="n">
        <v>378.934</v>
      </c>
      <c r="P143" s="38" t="n">
        <v/>
      </c>
      <c r="Q143" s="38" t="n">
        <v>110.205</v>
      </c>
      <c r="R143" s="38" t="n">
        <v>94592.008</v>
      </c>
      <c r="S143" s="38" t="n">
        <v>65769.97900000001</v>
      </c>
      <c r="T143" s="38" t="n">
        <v>28822.029</v>
      </c>
      <c r="U143" s="38" t="n">
        <v>-42.869</v>
      </c>
      <c r="V143" s="38" t="n">
        <v>-42.869</v>
      </c>
      <c r="W143" s="38" t="n">
        <v>0</v>
      </c>
    </row>
    <row r="144">
      <c r="A144" s="35" t="inlineStr">
        <is>
          <t>2006-08</t>
        </is>
      </c>
      <c r="B144" s="35" t="n">
        <v>2006</v>
      </c>
      <c r="C144" s="35" t="n">
        <v>8</v>
      </c>
      <c r="D144" s="36" t="n">
        <v>-12425.909</v>
      </c>
      <c r="E144" s="36" t="n">
        <v>9904.262000000001</v>
      </c>
      <c r="F144" s="36" t="n">
        <v>6234.52</v>
      </c>
      <c r="G144" s="36" t="n">
        <v/>
      </c>
      <c r="H144" s="36" t="n">
        <v/>
      </c>
      <c r="I144" s="36" t="n">
        <v>501.182</v>
      </c>
      <c r="J144" s="36" t="n">
        <v/>
      </c>
      <c r="K144" s="36" t="n">
        <v/>
      </c>
      <c r="L144" s="36" t="n">
        <v/>
      </c>
      <c r="M144" s="36" t="n">
        <v/>
      </c>
      <c r="N144" s="36" t="n">
        <v>-1.371</v>
      </c>
      <c r="O144" s="36" t="n">
        <v>989.169</v>
      </c>
      <c r="P144" s="36" t="n">
        <v/>
      </c>
      <c r="Q144" s="36" t="n">
        <v>67.04300000000001</v>
      </c>
      <c r="R144" s="36" t="n">
        <v>99860.90399999999</v>
      </c>
      <c r="S144" s="36" t="n">
        <v>66384.25</v>
      </c>
      <c r="T144" s="36" t="n">
        <v>33476.654</v>
      </c>
      <c r="U144" s="36" t="n">
        <v>5268.896</v>
      </c>
      <c r="V144" s="36" t="n">
        <v>5268.896</v>
      </c>
      <c r="W144" s="36" t="n">
        <v>0</v>
      </c>
    </row>
    <row r="145">
      <c r="A145" s="37" t="inlineStr">
        <is>
          <t>2006-09</t>
        </is>
      </c>
      <c r="B145" s="37" t="n">
        <v>2006</v>
      </c>
      <c r="C145" s="37" t="n">
        <v>9</v>
      </c>
      <c r="D145" s="38" t="n">
        <v>1811.783</v>
      </c>
      <c r="E145" s="38" t="n">
        <v>3227.307</v>
      </c>
      <c r="F145" s="38" t="n">
        <v>-3325.945</v>
      </c>
      <c r="G145" s="38" t="n">
        <v/>
      </c>
      <c r="H145" s="38" t="n">
        <v/>
      </c>
      <c r="I145" s="38" t="n">
        <v>-866.143</v>
      </c>
      <c r="J145" s="38" t="n">
        <v/>
      </c>
      <c r="K145" s="38" t="n">
        <v/>
      </c>
      <c r="L145" s="38" t="n">
        <v/>
      </c>
      <c r="M145" s="38" t="n">
        <v/>
      </c>
      <c r="N145" s="38" t="n">
        <v>0</v>
      </c>
      <c r="O145" s="38" t="n">
        <v>-398.473</v>
      </c>
      <c r="P145" s="38" t="n">
        <v/>
      </c>
      <c r="Q145" s="38" t="n">
        <v>62.12</v>
      </c>
      <c r="R145" s="38" t="n">
        <v>100371.553</v>
      </c>
      <c r="S145" s="38" t="n">
        <v>71347.77099999999</v>
      </c>
      <c r="T145" s="38" t="n">
        <v>29023.782</v>
      </c>
      <c r="U145" s="38" t="n">
        <v>510.649</v>
      </c>
      <c r="V145" s="38" t="n">
        <v>510.649</v>
      </c>
      <c r="W145" s="38" t="n">
        <v>0</v>
      </c>
    </row>
    <row r="146">
      <c r="A146" s="35" t="inlineStr">
        <is>
          <t>2006-10</t>
        </is>
      </c>
      <c r="B146" s="35" t="n">
        <v>2006</v>
      </c>
      <c r="C146" s="35" t="n">
        <v>10</v>
      </c>
      <c r="D146" s="36" t="n">
        <v>-7679.927</v>
      </c>
      <c r="E146" s="36" t="n">
        <v>9337.791999999999</v>
      </c>
      <c r="F146" s="36" t="n">
        <v>-3315.82</v>
      </c>
      <c r="G146" s="36" t="n">
        <v/>
      </c>
      <c r="H146" s="36" t="n">
        <v/>
      </c>
      <c r="I146" s="36" t="n">
        <v>601.449</v>
      </c>
      <c r="J146" s="36" t="n">
        <v/>
      </c>
      <c r="K146" s="36" t="n">
        <v/>
      </c>
      <c r="L146" s="36" t="n">
        <v/>
      </c>
      <c r="M146" s="36" t="n">
        <v/>
      </c>
      <c r="N146" s="36" t="n">
        <v>-0.001</v>
      </c>
      <c r="O146" s="36" t="n">
        <v>479.604</v>
      </c>
      <c r="P146" s="36" t="n">
        <v/>
      </c>
      <c r="Q146" s="36" t="n">
        <v>67.283</v>
      </c>
      <c r="R146" s="36" t="n">
        <v>99861.933</v>
      </c>
      <c r="S146" s="36" t="n">
        <v>71119.02099999999</v>
      </c>
      <c r="T146" s="36" t="n">
        <v>28742.912</v>
      </c>
      <c r="U146" s="36" t="n">
        <v>-509.62</v>
      </c>
      <c r="V146" s="36" t="n">
        <v>-509.62</v>
      </c>
      <c r="W146" s="36" t="n">
        <v>0</v>
      </c>
    </row>
    <row r="147">
      <c r="A147" s="37" t="inlineStr">
        <is>
          <t>2006-11</t>
        </is>
      </c>
      <c r="B147" s="37" t="n">
        <v>2006</v>
      </c>
      <c r="C147" s="37" t="n">
        <v>11</v>
      </c>
      <c r="D147" s="38" t="n">
        <v>-6834.247</v>
      </c>
      <c r="E147" s="38" t="n">
        <v>5677.371</v>
      </c>
      <c r="F147" s="38" t="n">
        <v>8196.978999999999</v>
      </c>
      <c r="G147" s="38" t="n">
        <v/>
      </c>
      <c r="H147" s="38" t="n">
        <v/>
      </c>
      <c r="I147" s="38" t="n">
        <v>-1365.053</v>
      </c>
      <c r="J147" s="38" t="n">
        <v/>
      </c>
      <c r="K147" s="38" t="n">
        <v/>
      </c>
      <c r="L147" s="38" t="n">
        <v/>
      </c>
      <c r="M147" s="38" t="n">
        <v/>
      </c>
      <c r="N147" s="38" t="n">
        <v>-0.281</v>
      </c>
      <c r="O147" s="38" t="n">
        <v>-275.861</v>
      </c>
      <c r="P147" s="38" t="n">
        <v/>
      </c>
      <c r="Q147" s="38" t="n">
        <v>74.167</v>
      </c>
      <c r="R147" s="38" t="n">
        <v>105335.008</v>
      </c>
      <c r="S147" s="38" t="n">
        <v>73640.792</v>
      </c>
      <c r="T147" s="38" t="n">
        <v>31694.216</v>
      </c>
      <c r="U147" s="38" t="n">
        <v>5473.075</v>
      </c>
      <c r="V147" s="38" t="n">
        <v>5473.075</v>
      </c>
      <c r="W147" s="38" t="n">
        <v>0</v>
      </c>
    </row>
    <row r="148">
      <c r="A148" s="35" t="inlineStr">
        <is>
          <t>2006-12</t>
        </is>
      </c>
      <c r="B148" s="35" t="n">
        <v>2006</v>
      </c>
      <c r="C148" s="35" t="n">
        <v>12</v>
      </c>
      <c r="D148" s="36" t="n">
        <v>-2159.061</v>
      </c>
      <c r="E148" s="36" t="n">
        <v>5568.509</v>
      </c>
      <c r="F148" s="36" t="n">
        <v>13309.467</v>
      </c>
      <c r="G148" s="36" t="n">
        <v/>
      </c>
      <c r="H148" s="36" t="n">
        <v/>
      </c>
      <c r="I148" s="36" t="n">
        <v>-1645.963</v>
      </c>
      <c r="J148" s="36" t="n">
        <v/>
      </c>
      <c r="K148" s="36" t="n">
        <v/>
      </c>
      <c r="L148" s="36" t="n">
        <v/>
      </c>
      <c r="M148" s="36" t="n">
        <v/>
      </c>
      <c r="N148" s="36" t="n">
        <v>-0.039</v>
      </c>
      <c r="O148" s="36" t="n">
        <v>498.916</v>
      </c>
      <c r="P148" s="36" t="n">
        <v/>
      </c>
      <c r="Q148" s="36" t="n">
        <v>195.164</v>
      </c>
      <c r="R148" s="36" t="n">
        <v>121102.001</v>
      </c>
      <c r="S148" s="36" t="n">
        <v>85824.753</v>
      </c>
      <c r="T148" s="36" t="n">
        <v>35277.248</v>
      </c>
      <c r="U148" s="36" t="n">
        <v>15766.993</v>
      </c>
      <c r="V148" s="36" t="n">
        <v>15766.993</v>
      </c>
      <c r="W148" s="36" t="n">
        <v>0</v>
      </c>
    </row>
    <row r="149">
      <c r="A149" s="37" t="inlineStr">
        <is>
          <t>2007-01</t>
        </is>
      </c>
      <c r="B149" s="37" t="n">
        <v>2007</v>
      </c>
      <c r="C149" s="37" t="n">
        <v>1</v>
      </c>
      <c r="D149" s="38" t="n">
        <v>-1924.475</v>
      </c>
      <c r="E149" s="38" t="n">
        <v>10319.921</v>
      </c>
      <c r="F149" s="38" t="n">
        <v>-20246.251</v>
      </c>
      <c r="G149" s="38" t="n">
        <v/>
      </c>
      <c r="H149" s="38" t="n">
        <v/>
      </c>
      <c r="I149" s="38" t="n">
        <v>11.554</v>
      </c>
      <c r="J149" s="38" t="n">
        <v/>
      </c>
      <c r="K149" s="38" t="n">
        <v/>
      </c>
      <c r="L149" s="38" t="n">
        <v/>
      </c>
      <c r="M149" s="38" t="n">
        <v/>
      </c>
      <c r="N149" s="38" t="n">
        <v>-0.959</v>
      </c>
      <c r="O149" s="38" t="n">
        <v>406.203</v>
      </c>
      <c r="P149" s="38" t="n">
        <v/>
      </c>
      <c r="Q149" s="38" t="n">
        <v>27.603</v>
      </c>
      <c r="R149" s="38" t="n">
        <v>109695.597</v>
      </c>
      <c r="S149" s="38" t="n">
        <v>76881.753</v>
      </c>
      <c r="T149" s="38" t="n">
        <v>32813.844</v>
      </c>
      <c r="U149" s="38" t="n">
        <v>-11406.404</v>
      </c>
      <c r="V149" s="38" t="n">
        <v>-11406.404</v>
      </c>
      <c r="W149" s="38" t="n">
        <v>0</v>
      </c>
    </row>
    <row r="150">
      <c r="A150" s="35" t="inlineStr">
        <is>
          <t>2007-02</t>
        </is>
      </c>
      <c r="B150" s="35" t="n">
        <v>2007</v>
      </c>
      <c r="C150" s="35" t="n">
        <v>2</v>
      </c>
      <c r="D150" s="36" t="n">
        <v>-4107.811</v>
      </c>
      <c r="E150" s="36" t="n">
        <v>18487.002</v>
      </c>
      <c r="F150" s="36" t="n">
        <v>-19658.858</v>
      </c>
      <c r="G150" s="36" t="n">
        <v/>
      </c>
      <c r="H150" s="36" t="n">
        <v/>
      </c>
      <c r="I150" s="36" t="n">
        <v>-64.108</v>
      </c>
      <c r="J150" s="36" t="n">
        <v/>
      </c>
      <c r="K150" s="36" t="n">
        <v/>
      </c>
      <c r="L150" s="36" t="n">
        <v/>
      </c>
      <c r="M150" s="36" t="n">
        <v/>
      </c>
      <c r="N150" s="36" t="n">
        <v>-0.007</v>
      </c>
      <c r="O150" s="36" t="n">
        <v>301.909</v>
      </c>
      <c r="P150" s="36" t="n">
        <v/>
      </c>
      <c r="Q150" s="36" t="n">
        <v>483.016</v>
      </c>
      <c r="R150" s="36" t="n">
        <v>105136.74</v>
      </c>
      <c r="S150" s="36" t="n">
        <v>75702.005</v>
      </c>
      <c r="T150" s="36" t="n">
        <v>29434.735</v>
      </c>
      <c r="U150" s="36" t="n">
        <v>-4558.857</v>
      </c>
      <c r="V150" s="36" t="n">
        <v>-4558.857</v>
      </c>
      <c r="W150" s="36" t="n">
        <v>0</v>
      </c>
    </row>
    <row r="151">
      <c r="A151" s="37" t="inlineStr">
        <is>
          <t>2007-03</t>
        </is>
      </c>
      <c r="B151" s="37" t="n">
        <v>2007</v>
      </c>
      <c r="C151" s="37" t="n">
        <v>3</v>
      </c>
      <c r="D151" s="38" t="n">
        <v>-349.96</v>
      </c>
      <c r="E151" s="38" t="n">
        <v>17329.559</v>
      </c>
      <c r="F151" s="38" t="n">
        <v>-16003.938</v>
      </c>
      <c r="G151" s="38" t="n">
        <v/>
      </c>
      <c r="H151" s="38" t="n">
        <v/>
      </c>
      <c r="I151" s="38" t="n">
        <v>39.894</v>
      </c>
      <c r="J151" s="38" t="n">
        <v/>
      </c>
      <c r="K151" s="38" t="n">
        <v/>
      </c>
      <c r="L151" s="38" t="n">
        <v/>
      </c>
      <c r="M151" s="38" t="n">
        <v/>
      </c>
      <c r="N151" s="38" t="n">
        <v>-0.026</v>
      </c>
      <c r="O151" s="38" t="n">
        <v>1024.237</v>
      </c>
      <c r="P151" s="38" t="n">
        <v/>
      </c>
      <c r="Q151" s="38" t="n">
        <v>59.198</v>
      </c>
      <c r="R151" s="38" t="n">
        <v>107235.704</v>
      </c>
      <c r="S151" s="38" t="n">
        <v>74489.21799999999</v>
      </c>
      <c r="T151" s="38" t="n">
        <v>32746.486</v>
      </c>
      <c r="U151" s="38" t="n">
        <v>2098.964</v>
      </c>
      <c r="V151" s="38" t="n">
        <v>2098.964</v>
      </c>
      <c r="W151" s="38" t="n">
        <v>0</v>
      </c>
    </row>
    <row r="152">
      <c r="A152" s="35" t="inlineStr">
        <is>
          <t>2007-04</t>
        </is>
      </c>
      <c r="B152" s="35" t="n">
        <v>2007</v>
      </c>
      <c r="C152" s="35" t="n">
        <v>4</v>
      </c>
      <c r="D152" s="36" t="n">
        <v>-8741.148999999999</v>
      </c>
      <c r="E152" s="36" t="n">
        <v>22327.588</v>
      </c>
      <c r="F152" s="36" t="n">
        <v>-6738.489</v>
      </c>
      <c r="G152" s="36" t="n">
        <v/>
      </c>
      <c r="H152" s="36" t="n">
        <v/>
      </c>
      <c r="I152" s="36" t="n">
        <v>-140.647</v>
      </c>
      <c r="J152" s="36" t="n">
        <v/>
      </c>
      <c r="K152" s="36" t="n">
        <v/>
      </c>
      <c r="L152" s="36" t="n">
        <v/>
      </c>
      <c r="M152" s="36" t="n">
        <v/>
      </c>
      <c r="N152" s="36" t="n">
        <v>92.81</v>
      </c>
      <c r="O152" s="36" t="n">
        <v>256.83</v>
      </c>
      <c r="P152" s="36" t="n">
        <v/>
      </c>
      <c r="Q152" s="36" t="n">
        <v>113.591</v>
      </c>
      <c r="R152" s="36" t="n">
        <v>114406.238</v>
      </c>
      <c r="S152" s="36" t="n">
        <v>75535.63400000001</v>
      </c>
      <c r="T152" s="36" t="n">
        <v>38870.604</v>
      </c>
      <c r="U152" s="36" t="n">
        <v>7170.534</v>
      </c>
      <c r="V152" s="36" t="n">
        <v>7170.534</v>
      </c>
      <c r="W152" s="36" t="n">
        <v>0</v>
      </c>
    </row>
    <row r="153">
      <c r="A153" s="37" t="inlineStr">
        <is>
          <t>2007-05</t>
        </is>
      </c>
      <c r="B153" s="37" t="n">
        <v>2007</v>
      </c>
      <c r="C153" s="37" t="n">
        <v>5</v>
      </c>
      <c r="D153" s="38" t="n">
        <v>-5559.936</v>
      </c>
      <c r="E153" s="38" t="n">
        <v>29170.483</v>
      </c>
      <c r="F153" s="38" t="n">
        <v>-31496.004</v>
      </c>
      <c r="G153" s="38" t="n">
        <v/>
      </c>
      <c r="H153" s="38" t="n">
        <v/>
      </c>
      <c r="I153" s="38" t="n">
        <v>-379.663</v>
      </c>
      <c r="J153" s="38" t="n">
        <v/>
      </c>
      <c r="K153" s="38" t="n">
        <v/>
      </c>
      <c r="L153" s="38" t="n">
        <v/>
      </c>
      <c r="M153" s="38" t="n">
        <v/>
      </c>
      <c r="N153" s="38" t="n">
        <v>-93.26000000000001</v>
      </c>
      <c r="O153" s="38" t="n">
        <v>2088.056</v>
      </c>
      <c r="P153" s="38" t="n">
        <v/>
      </c>
      <c r="Q153" s="38" t="n">
        <v>114.738</v>
      </c>
      <c r="R153" s="38" t="n">
        <v>108250.652</v>
      </c>
      <c r="S153" s="38" t="n">
        <v>75084.791</v>
      </c>
      <c r="T153" s="38" t="n">
        <v>33165.861</v>
      </c>
      <c r="U153" s="38" t="n">
        <v>-6155.586</v>
      </c>
      <c r="V153" s="38" t="n">
        <v>-6155.586</v>
      </c>
      <c r="W153" s="38" t="n">
        <v>0</v>
      </c>
    </row>
    <row r="154">
      <c r="A154" s="35" t="inlineStr">
        <is>
          <t>2007-06</t>
        </is>
      </c>
      <c r="B154" s="35" t="n">
        <v>2007</v>
      </c>
      <c r="C154" s="35" t="n">
        <v>6</v>
      </c>
      <c r="D154" s="36" t="n">
        <v>-143.089</v>
      </c>
      <c r="E154" s="36" t="n">
        <v>18209.185</v>
      </c>
      <c r="F154" s="36" t="n">
        <v>-10756.746</v>
      </c>
      <c r="G154" s="36" t="n">
        <v/>
      </c>
      <c r="H154" s="36" t="n">
        <v/>
      </c>
      <c r="I154" s="36" t="n">
        <v>-743.264</v>
      </c>
      <c r="J154" s="36" t="n">
        <v/>
      </c>
      <c r="K154" s="36" t="n">
        <v/>
      </c>
      <c r="L154" s="36" t="n">
        <v/>
      </c>
      <c r="M154" s="36" t="n">
        <v/>
      </c>
      <c r="N154" s="36" t="n">
        <v>-0.002</v>
      </c>
      <c r="O154" s="36" t="n">
        <v>674.6559999999999</v>
      </c>
      <c r="P154" s="36" t="n">
        <v/>
      </c>
      <c r="Q154" s="36" t="n">
        <v>112.739</v>
      </c>
      <c r="R154" s="36" t="n">
        <v>115604.131</v>
      </c>
      <c r="S154" s="36" t="n">
        <v>77487.205</v>
      </c>
      <c r="T154" s="36" t="n">
        <v>38116.926</v>
      </c>
      <c r="U154" s="36" t="n">
        <v>7353.479</v>
      </c>
      <c r="V154" s="36" t="n">
        <v>7353.479</v>
      </c>
      <c r="W154" s="36" t="n">
        <v>0</v>
      </c>
    </row>
    <row r="155">
      <c r="A155" s="37" t="inlineStr">
        <is>
          <t>2007-07</t>
        </is>
      </c>
      <c r="B155" s="37" t="n">
        <v>2007</v>
      </c>
      <c r="C155" s="37" t="n">
        <v>7</v>
      </c>
      <c r="D155" s="38" t="n">
        <v>-1284.28</v>
      </c>
      <c r="E155" s="38" t="n">
        <v>13105.753</v>
      </c>
      <c r="F155" s="38" t="n">
        <v>-12008.781</v>
      </c>
      <c r="G155" s="38" t="n">
        <v/>
      </c>
      <c r="H155" s="38" t="n">
        <v/>
      </c>
      <c r="I155" s="38" t="n">
        <v>-878.187</v>
      </c>
      <c r="J155" s="38" t="n">
        <v/>
      </c>
      <c r="K155" s="38" t="n">
        <v/>
      </c>
      <c r="L155" s="38" t="n">
        <v/>
      </c>
      <c r="M155" s="38" t="n">
        <v/>
      </c>
      <c r="N155" s="38" t="n">
        <v>37.205</v>
      </c>
      <c r="O155" s="38" t="n">
        <v>1144.466</v>
      </c>
      <c r="P155" s="38" t="n">
        <v/>
      </c>
      <c r="Q155" s="38" t="n">
        <v>91.774</v>
      </c>
      <c r="R155" s="38" t="n">
        <v>115812.081</v>
      </c>
      <c r="S155" s="38" t="n">
        <v>78422.77800000001</v>
      </c>
      <c r="T155" s="38" t="n">
        <v>37389.303</v>
      </c>
      <c r="U155" s="38" t="n">
        <v>207.95</v>
      </c>
      <c r="V155" s="38" t="n">
        <v>207.95</v>
      </c>
      <c r="W155" s="38" t="n">
        <v>0</v>
      </c>
    </row>
    <row r="156">
      <c r="A156" s="35" t="inlineStr">
        <is>
          <t>2007-08</t>
        </is>
      </c>
      <c r="B156" s="35" t="n">
        <v>2007</v>
      </c>
      <c r="C156" s="35" t="n">
        <v>8</v>
      </c>
      <c r="D156" s="36" t="n">
        <v>-7569.583</v>
      </c>
      <c r="E156" s="36" t="n">
        <v>5794.364</v>
      </c>
      <c r="F156" s="36" t="n">
        <v>3256.683</v>
      </c>
      <c r="G156" s="36" t="n">
        <v/>
      </c>
      <c r="H156" s="36" t="n">
        <v/>
      </c>
      <c r="I156" s="36" t="n">
        <v>-976.447</v>
      </c>
      <c r="J156" s="36" t="n">
        <v/>
      </c>
      <c r="K156" s="36" t="n">
        <v/>
      </c>
      <c r="L156" s="36" t="n">
        <v/>
      </c>
      <c r="M156" s="36" t="n">
        <v/>
      </c>
      <c r="N156" s="36" t="n">
        <v>-38.569</v>
      </c>
      <c r="O156" s="36" t="n">
        <v>-1891.501</v>
      </c>
      <c r="P156" s="36" t="n">
        <v/>
      </c>
      <c r="Q156" s="36" t="n">
        <v>101.35</v>
      </c>
      <c r="R156" s="36" t="n">
        <v>114488.378</v>
      </c>
      <c r="S156" s="36" t="n">
        <v>79834.788</v>
      </c>
      <c r="T156" s="36" t="n">
        <v>34653.59</v>
      </c>
      <c r="U156" s="36" t="n">
        <v>-1323.703</v>
      </c>
      <c r="V156" s="36" t="n">
        <v>-1323.703</v>
      </c>
      <c r="W156" s="36" t="n">
        <v>0</v>
      </c>
    </row>
    <row r="157">
      <c r="A157" s="37" t="inlineStr">
        <is>
          <t>2007-09</t>
        </is>
      </c>
      <c r="B157" s="37" t="n">
        <v>2007</v>
      </c>
      <c r="C157" s="37" t="n">
        <v>9</v>
      </c>
      <c r="D157" s="38" t="n">
        <v>-3653.673</v>
      </c>
      <c r="E157" s="38" t="n">
        <v>-3.04</v>
      </c>
      <c r="F157" s="38" t="n">
        <v>8917.33</v>
      </c>
      <c r="G157" s="38" t="n">
        <v/>
      </c>
      <c r="H157" s="38" t="n">
        <v/>
      </c>
      <c r="I157" s="38" t="n">
        <v>-2401.161</v>
      </c>
      <c r="J157" s="38" t="n">
        <v/>
      </c>
      <c r="K157" s="38" t="n">
        <v/>
      </c>
      <c r="L157" s="38" t="n">
        <v/>
      </c>
      <c r="M157" s="38" t="n">
        <v/>
      </c>
      <c r="N157" s="38" t="n">
        <v>0</v>
      </c>
      <c r="O157" s="38" t="n">
        <v>2861.343</v>
      </c>
      <c r="P157" s="38" t="n">
        <v/>
      </c>
      <c r="Q157" s="38" t="n">
        <v>130.882</v>
      </c>
      <c r="R157" s="38" t="n">
        <v>120340.059</v>
      </c>
      <c r="S157" s="38" t="n">
        <v>83963.314</v>
      </c>
      <c r="T157" s="38" t="n">
        <v>36376.745</v>
      </c>
      <c r="U157" s="38" t="n">
        <v>5851.681</v>
      </c>
      <c r="V157" s="38" t="n">
        <v>5851.681</v>
      </c>
      <c r="W157" s="38" t="n">
        <v>0</v>
      </c>
    </row>
    <row r="158">
      <c r="A158" s="35" t="inlineStr">
        <is>
          <t>2007-10</t>
        </is>
      </c>
      <c r="B158" s="35" t="n">
        <v>2007</v>
      </c>
      <c r="C158" s="35" t="n">
        <v>10</v>
      </c>
      <c r="D158" s="36" t="n">
        <v>-6243.998</v>
      </c>
      <c r="E158" s="36" t="n">
        <v>6429.942</v>
      </c>
      <c r="F158" s="36" t="n">
        <v>930.351</v>
      </c>
      <c r="G158" s="36" t="n">
        <v/>
      </c>
      <c r="H158" s="36" t="n">
        <v/>
      </c>
      <c r="I158" s="36" t="n">
        <v>-562.48</v>
      </c>
      <c r="J158" s="36" t="n">
        <v/>
      </c>
      <c r="K158" s="36" t="n">
        <v/>
      </c>
      <c r="L158" s="36" t="n">
        <v/>
      </c>
      <c r="M158" s="36" t="n">
        <v/>
      </c>
      <c r="N158" s="36" t="n">
        <v>-0.136</v>
      </c>
      <c r="O158" s="36" t="n">
        <v>1987.799</v>
      </c>
      <c r="P158" s="36" t="n">
        <v/>
      </c>
      <c r="Q158" s="36" t="n">
        <v>85.04900000000001</v>
      </c>
      <c r="R158" s="36" t="n">
        <v>122966.586</v>
      </c>
      <c r="S158" s="36" t="n">
        <v>83780.516</v>
      </c>
      <c r="T158" s="36" t="n">
        <v>39186.07</v>
      </c>
      <c r="U158" s="36" t="n">
        <v>2626.527</v>
      </c>
      <c r="V158" s="36" t="n">
        <v>2626.527</v>
      </c>
      <c r="W158" s="36" t="n">
        <v>0</v>
      </c>
    </row>
    <row r="159">
      <c r="A159" s="37" t="inlineStr">
        <is>
          <t>2007-11</t>
        </is>
      </c>
      <c r="B159" s="37" t="n">
        <v>2007</v>
      </c>
      <c r="C159" s="37" t="n">
        <v>11</v>
      </c>
      <c r="D159" s="38" t="n">
        <v>-11196.646</v>
      </c>
      <c r="E159" s="38" t="n">
        <v>10009.516</v>
      </c>
      <c r="F159" s="38" t="n">
        <v>10600.995</v>
      </c>
      <c r="G159" s="38" t="n">
        <v/>
      </c>
      <c r="H159" s="38" t="n">
        <v/>
      </c>
      <c r="I159" s="38" t="n">
        <v>-1040.19</v>
      </c>
      <c r="J159" s="38" t="n">
        <v/>
      </c>
      <c r="K159" s="38" t="n">
        <v/>
      </c>
      <c r="L159" s="38" t="n">
        <v/>
      </c>
      <c r="M159" s="38" t="n">
        <v/>
      </c>
      <c r="N159" s="38" t="n">
        <v>-0.023</v>
      </c>
      <c r="O159" s="38" t="n">
        <v>-526.753</v>
      </c>
      <c r="P159" s="38" t="n">
        <v/>
      </c>
      <c r="Q159" s="38" t="n">
        <v>33.992</v>
      </c>
      <c r="R159" s="38" t="n">
        <v>130847.477</v>
      </c>
      <c r="S159" s="38" t="n">
        <v>88018.02899999999</v>
      </c>
      <c r="T159" s="38" t="n">
        <v>42829.448</v>
      </c>
      <c r="U159" s="38" t="n">
        <v>7880.891</v>
      </c>
      <c r="V159" s="38" t="n">
        <v>7880.891</v>
      </c>
      <c r="W159" s="38" t="n">
        <v>0</v>
      </c>
    </row>
    <row r="160">
      <c r="A160" s="35" t="inlineStr">
        <is>
          <t>2007-12</t>
        </is>
      </c>
      <c r="B160" s="35" t="n">
        <v>2007</v>
      </c>
      <c r="C160" s="35" t="n">
        <v>12</v>
      </c>
      <c r="D160" s="36" t="n">
        <v>-4826.282</v>
      </c>
      <c r="E160" s="36" t="n">
        <v>4210.354</v>
      </c>
      <c r="F160" s="36" t="n">
        <v>19229.181</v>
      </c>
      <c r="G160" s="36" t="n">
        <v/>
      </c>
      <c r="H160" s="36" t="n">
        <v/>
      </c>
      <c r="I160" s="36" t="n">
        <v>-3466.24</v>
      </c>
      <c r="J160" s="36" t="n">
        <v/>
      </c>
      <c r="K160" s="36" t="n">
        <v/>
      </c>
      <c r="L160" s="36" t="n">
        <v/>
      </c>
      <c r="M160" s="36" t="n">
        <v/>
      </c>
      <c r="N160" s="36" t="n">
        <v>-0.05</v>
      </c>
      <c r="O160" s="36" t="n">
        <v>484.911</v>
      </c>
      <c r="P160" s="36" t="n">
        <v/>
      </c>
      <c r="Q160" s="36" t="n">
        <v>137.516</v>
      </c>
      <c r="R160" s="36" t="n">
        <v>146616.867</v>
      </c>
      <c r="S160" s="36" t="n">
        <v>102885.047</v>
      </c>
      <c r="T160" s="36" t="n">
        <v>43731.82</v>
      </c>
      <c r="U160" s="36" t="n">
        <v>15769.39</v>
      </c>
      <c r="V160" s="36" t="n">
        <v>15769.39</v>
      </c>
      <c r="W160" s="36" t="n">
        <v>0</v>
      </c>
    </row>
    <row r="161">
      <c r="A161" s="37" t="inlineStr">
        <is>
          <t>2008-01</t>
        </is>
      </c>
      <c r="B161" s="37" t="n">
        <v>2008</v>
      </c>
      <c r="C161" s="37" t="n">
        <v>1</v>
      </c>
      <c r="D161" s="38" t="n">
        <v>5478.738</v>
      </c>
      <c r="E161" s="38" t="n">
        <v>4409.1</v>
      </c>
      <c r="F161" s="38" t="n">
        <v>-26008.619</v>
      </c>
      <c r="G161" s="38" t="n">
        <v/>
      </c>
      <c r="H161" s="38" t="n">
        <v/>
      </c>
      <c r="I161" s="38" t="n">
        <v>384.824</v>
      </c>
      <c r="J161" s="38" t="n">
        <v/>
      </c>
      <c r="K161" s="38" t="n">
        <v/>
      </c>
      <c r="L161" s="38" t="n">
        <v/>
      </c>
      <c r="M161" s="38" t="n">
        <v/>
      </c>
      <c r="N161" s="38" t="n">
        <v>0</v>
      </c>
      <c r="O161" s="38" t="n">
        <v>-376.809</v>
      </c>
      <c r="P161" s="38" t="n">
        <v/>
      </c>
      <c r="Q161" s="38" t="n">
        <v>84.018</v>
      </c>
      <c r="R161" s="38" t="n">
        <v>130588.119</v>
      </c>
      <c r="S161" s="38" t="n">
        <v>92924.567</v>
      </c>
      <c r="T161" s="38" t="n">
        <v>37663.552</v>
      </c>
      <c r="U161" s="38" t="n">
        <v>-16028.748</v>
      </c>
      <c r="V161" s="38" t="n">
        <v>-16028.748</v>
      </c>
      <c r="W161" s="38" t="n">
        <v>0</v>
      </c>
    </row>
    <row r="162">
      <c r="A162" s="35" t="inlineStr">
        <is>
          <t>2008-02</t>
        </is>
      </c>
      <c r="B162" s="35" t="n">
        <v>2008</v>
      </c>
      <c r="C162" s="35" t="n">
        <v>2</v>
      </c>
      <c r="D162" s="36" t="n">
        <v>-15087.354</v>
      </c>
      <c r="E162" s="36" t="n">
        <v>5214.468</v>
      </c>
      <c r="F162" s="36" t="n">
        <v>3378.298</v>
      </c>
      <c r="G162" s="36" t="n">
        <v/>
      </c>
      <c r="H162" s="36" t="n">
        <v/>
      </c>
      <c r="I162" s="36" t="n">
        <v>-448.259</v>
      </c>
      <c r="J162" s="36" t="n">
        <v/>
      </c>
      <c r="K162" s="36" t="n">
        <v/>
      </c>
      <c r="L162" s="36" t="n">
        <v/>
      </c>
      <c r="M162" s="36" t="n">
        <v/>
      </c>
      <c r="N162" s="36" t="n">
        <v>-0.117</v>
      </c>
      <c r="O162" s="36" t="n">
        <v>2632.245</v>
      </c>
      <c r="P162" s="36" t="n">
        <v/>
      </c>
      <c r="Q162" s="36" t="n">
        <v>51.785</v>
      </c>
      <c r="R162" s="36" t="n">
        <v>126329.185</v>
      </c>
      <c r="S162" s="36" t="n">
        <v>89929.22100000001</v>
      </c>
      <c r="T162" s="36" t="n">
        <v>36399.964</v>
      </c>
      <c r="U162" s="36" t="n">
        <v>-4258.934</v>
      </c>
      <c r="V162" s="36" t="n">
        <v>-4258.934</v>
      </c>
      <c r="W162" s="36" t="n">
        <v>0</v>
      </c>
    </row>
    <row r="163">
      <c r="A163" s="37" t="inlineStr">
        <is>
          <t>2008-03</t>
        </is>
      </c>
      <c r="B163" s="37" t="n">
        <v>2008</v>
      </c>
      <c r="C163" s="37" t="n">
        <v>3</v>
      </c>
      <c r="D163" s="38" t="n">
        <v>1820.119</v>
      </c>
      <c r="E163" s="38" t="n">
        <v>2030.876</v>
      </c>
      <c r="F163" s="38" t="n">
        <v>968.441</v>
      </c>
      <c r="G163" s="38" t="n">
        <v/>
      </c>
      <c r="H163" s="38" t="n">
        <v/>
      </c>
      <c r="I163" s="38" t="n">
        <v>-723.3440000000001</v>
      </c>
      <c r="J163" s="38" t="n">
        <v/>
      </c>
      <c r="K163" s="38" t="n">
        <v/>
      </c>
      <c r="L163" s="38" t="n">
        <v/>
      </c>
      <c r="M163" s="38" t="n">
        <v/>
      </c>
      <c r="N163" s="38" t="n">
        <v>0.805</v>
      </c>
      <c r="O163" s="38" t="n">
        <v>-1623.411</v>
      </c>
      <c r="P163" s="38" t="n">
        <v/>
      </c>
      <c r="Q163" s="38" t="n">
        <v>74.142</v>
      </c>
      <c r="R163" s="38" t="n">
        <v>128876.813</v>
      </c>
      <c r="S163" s="38" t="n">
        <v>89466.285</v>
      </c>
      <c r="T163" s="38" t="n">
        <v>39410.528</v>
      </c>
      <c r="U163" s="38" t="n">
        <v>2547.628</v>
      </c>
      <c r="V163" s="38" t="n">
        <v>2547.628</v>
      </c>
      <c r="W163" s="38" t="n">
        <v>0</v>
      </c>
    </row>
    <row r="164">
      <c r="A164" s="35" t="inlineStr">
        <is>
          <t>2008-04</t>
        </is>
      </c>
      <c r="B164" s="35" t="n">
        <v>2008</v>
      </c>
      <c r="C164" s="35" t="n">
        <v>4</v>
      </c>
      <c r="D164" s="36" t="n">
        <v>-14212.403</v>
      </c>
      <c r="E164" s="36" t="n">
        <v>6689.707</v>
      </c>
      <c r="F164" s="36" t="n">
        <v>4490.928</v>
      </c>
      <c r="G164" s="36" t="n">
        <v/>
      </c>
      <c r="H164" s="36" t="n">
        <v/>
      </c>
      <c r="I164" s="36" t="n">
        <v>-2266.024</v>
      </c>
      <c r="J164" s="36" t="n">
        <v/>
      </c>
      <c r="K164" s="36" t="n">
        <v/>
      </c>
      <c r="L164" s="36" t="n">
        <v/>
      </c>
      <c r="M164" s="36" t="n">
        <v/>
      </c>
      <c r="N164" s="36" t="n">
        <v>18.064</v>
      </c>
      <c r="O164" s="36" t="n">
        <v>995.893</v>
      </c>
      <c r="P164" s="36" t="n">
        <v/>
      </c>
      <c r="Q164" s="36" t="n">
        <v>90.937</v>
      </c>
      <c r="R164" s="36" t="n">
        <v>124683.915</v>
      </c>
      <c r="S164" s="36" t="n">
        <v>89875.895</v>
      </c>
      <c r="T164" s="36" t="n">
        <v>34808.02</v>
      </c>
      <c r="U164" s="36" t="n">
        <v>-4192.898</v>
      </c>
      <c r="V164" s="36" t="n">
        <v>-4192.898</v>
      </c>
      <c r="W164" s="36" t="n">
        <v>0</v>
      </c>
    </row>
    <row r="165">
      <c r="A165" s="37" t="inlineStr">
        <is>
          <t>2008-05</t>
        </is>
      </c>
      <c r="B165" s="37" t="n">
        <v>2008</v>
      </c>
      <c r="C165" s="37" t="n">
        <v>5</v>
      </c>
      <c r="D165" s="38" t="n">
        <v>-11468.012</v>
      </c>
      <c r="E165" s="38" t="n">
        <v>4202.971</v>
      </c>
      <c r="F165" s="38" t="n">
        <v>14928.026</v>
      </c>
      <c r="G165" s="38" t="n">
        <v/>
      </c>
      <c r="H165" s="38" t="n">
        <v/>
      </c>
      <c r="I165" s="38" t="n">
        <v>-1238.622</v>
      </c>
      <c r="J165" s="38" t="n">
        <v/>
      </c>
      <c r="K165" s="38" t="n">
        <v/>
      </c>
      <c r="L165" s="38" t="n">
        <v/>
      </c>
      <c r="M165" s="38" t="n">
        <v/>
      </c>
      <c r="N165" s="38" t="n">
        <v>-19.463</v>
      </c>
      <c r="O165" s="38" t="n">
        <v>2014.489</v>
      </c>
      <c r="P165" s="38" t="n">
        <v/>
      </c>
      <c r="Q165" s="38" t="n">
        <v>55.438</v>
      </c>
      <c r="R165" s="38" t="n">
        <v>133158.742</v>
      </c>
      <c r="S165" s="38" t="n">
        <v>90911.59</v>
      </c>
      <c r="T165" s="38" t="n">
        <v>42247.152</v>
      </c>
      <c r="U165" s="38" t="n">
        <v>8474.826999999999</v>
      </c>
      <c r="V165" s="38" t="n">
        <v>8474.826999999999</v>
      </c>
      <c r="W165" s="38" t="n">
        <v>0</v>
      </c>
    </row>
    <row r="166">
      <c r="A166" s="35" t="inlineStr">
        <is>
          <t>2008-06</t>
        </is>
      </c>
      <c r="B166" s="35" t="n">
        <v>2008</v>
      </c>
      <c r="C166" s="35" t="n">
        <v>6</v>
      </c>
      <c r="D166" s="36" t="n">
        <v>-2799.299</v>
      </c>
      <c r="E166" s="36" t="n">
        <v>3275.561</v>
      </c>
      <c r="F166" s="36" t="n">
        <v>-481.493</v>
      </c>
      <c r="G166" s="36" t="n">
        <v/>
      </c>
      <c r="H166" s="36" t="n">
        <v/>
      </c>
      <c r="I166" s="36" t="n">
        <v>-1621.604</v>
      </c>
      <c r="J166" s="36" t="n">
        <v/>
      </c>
      <c r="K166" s="36" t="n">
        <v/>
      </c>
      <c r="L166" s="36" t="n">
        <v/>
      </c>
      <c r="M166" s="36" t="n">
        <v/>
      </c>
      <c r="N166" s="36" t="n">
        <v>-0.013</v>
      </c>
      <c r="O166" s="36" t="n">
        <v>1198.888</v>
      </c>
      <c r="P166" s="36" t="n">
        <v/>
      </c>
      <c r="Q166" s="36" t="n">
        <v>62.33</v>
      </c>
      <c r="R166" s="36" t="n">
        <v>132793.112</v>
      </c>
      <c r="S166" s="36" t="n">
        <v>92567.91</v>
      </c>
      <c r="T166" s="36" t="n">
        <v>40225.202</v>
      </c>
      <c r="U166" s="36" t="n">
        <v>-365.63</v>
      </c>
      <c r="V166" s="36" t="n">
        <v>-365.63</v>
      </c>
      <c r="W166" s="36" t="n">
        <v>0</v>
      </c>
    </row>
    <row r="167">
      <c r="A167" s="37" t="inlineStr">
        <is>
          <t>2008-07</t>
        </is>
      </c>
      <c r="B167" s="37" t="n">
        <v>2008</v>
      </c>
      <c r="C167" s="37" t="n">
        <v>7</v>
      </c>
      <c r="D167" s="38" t="n">
        <v>132.513</v>
      </c>
      <c r="E167" s="38" t="n">
        <v>2723.59</v>
      </c>
      <c r="F167" s="38" t="n">
        <v>-5957.344</v>
      </c>
      <c r="G167" s="38" t="n">
        <v/>
      </c>
      <c r="H167" s="38" t="n">
        <v/>
      </c>
      <c r="I167" s="38" t="n">
        <v>-1747.552</v>
      </c>
      <c r="J167" s="38" t="n">
        <v/>
      </c>
      <c r="K167" s="38" t="n">
        <v/>
      </c>
      <c r="L167" s="38" t="n">
        <v/>
      </c>
      <c r="M167" s="38" t="n">
        <v/>
      </c>
      <c r="N167" s="38" t="n">
        <v>-0.005</v>
      </c>
      <c r="O167" s="38" t="n">
        <v>1039.791</v>
      </c>
      <c r="P167" s="38" t="n">
        <v/>
      </c>
      <c r="Q167" s="38" t="n">
        <v>108.086</v>
      </c>
      <c r="R167" s="38" t="n">
        <v>129092.191</v>
      </c>
      <c r="S167" s="38" t="n">
        <v>94091.397</v>
      </c>
      <c r="T167" s="38" t="n">
        <v>35000.794</v>
      </c>
      <c r="U167" s="38" t="n">
        <v>-3700.921</v>
      </c>
      <c r="V167" s="38" t="n">
        <v>-3700.921</v>
      </c>
      <c r="W167" s="38" t="n">
        <v>0</v>
      </c>
    </row>
    <row r="168">
      <c r="A168" s="35" t="inlineStr">
        <is>
          <t>2008-08</t>
        </is>
      </c>
      <c r="B168" s="35" t="n">
        <v>2008</v>
      </c>
      <c r="C168" s="35" t="n">
        <v>8</v>
      </c>
      <c r="D168" s="36" t="n">
        <v>-10324.532</v>
      </c>
      <c r="E168" s="36" t="n">
        <v>2057.792</v>
      </c>
      <c r="F168" s="36" t="n">
        <v>14553.822</v>
      </c>
      <c r="G168" s="36" t="n">
        <v/>
      </c>
      <c r="H168" s="36" t="n">
        <v/>
      </c>
      <c r="I168" s="36" t="n">
        <v>-2045.388</v>
      </c>
      <c r="J168" s="36" t="n">
        <v/>
      </c>
      <c r="K168" s="36" t="n">
        <v/>
      </c>
      <c r="L168" s="36" t="n">
        <v/>
      </c>
      <c r="M168" s="36" t="n">
        <v/>
      </c>
      <c r="N168" s="36" t="n">
        <v>-0.008999999999999999</v>
      </c>
      <c r="O168" s="36" t="n">
        <v>-1336.249</v>
      </c>
      <c r="P168" s="36" t="n">
        <v/>
      </c>
      <c r="Q168" s="36" t="n">
        <v>73.53100000000001</v>
      </c>
      <c r="R168" s="36" t="n">
        <v>132071.158</v>
      </c>
      <c r="S168" s="36" t="n">
        <v>95835.308</v>
      </c>
      <c r="T168" s="36" t="n">
        <v>36235.85</v>
      </c>
      <c r="U168" s="36" t="n">
        <v>2978.967</v>
      </c>
      <c r="V168" s="36" t="n">
        <v>2978.967</v>
      </c>
      <c r="W168" s="36" t="n">
        <v>0</v>
      </c>
    </row>
    <row r="169">
      <c r="A169" s="37" t="inlineStr">
        <is>
          <t>2008-09</t>
        </is>
      </c>
      <c r="B169" s="37" t="n">
        <v>2008</v>
      </c>
      <c r="C169" s="37" t="n">
        <v>9</v>
      </c>
      <c r="D169" s="38" t="n">
        <v>-5041.334</v>
      </c>
      <c r="E169" s="38" t="n">
        <v>286.134</v>
      </c>
      <c r="F169" s="38" t="n">
        <v>14220.841</v>
      </c>
      <c r="G169" s="38" t="n">
        <v/>
      </c>
      <c r="H169" s="38" t="n">
        <v/>
      </c>
      <c r="I169" s="38" t="n">
        <v>1765.938</v>
      </c>
      <c r="J169" s="38" t="n">
        <v/>
      </c>
      <c r="K169" s="38" t="n">
        <v/>
      </c>
      <c r="L169" s="38" t="n">
        <v/>
      </c>
      <c r="M169" s="38" t="n">
        <v/>
      </c>
      <c r="N169" s="38" t="n">
        <v>28.064</v>
      </c>
      <c r="O169" s="38" t="n">
        <v>-6506.574</v>
      </c>
      <c r="P169" s="38" t="n">
        <v/>
      </c>
      <c r="Q169" s="38" t="n">
        <v>111.948</v>
      </c>
      <c r="R169" s="38" t="n">
        <v>136936.175</v>
      </c>
      <c r="S169" s="38" t="n">
        <v>98211.45299999999</v>
      </c>
      <c r="T169" s="38" t="n">
        <v>38724.722</v>
      </c>
      <c r="U169" s="38" t="n">
        <v>4865.017</v>
      </c>
      <c r="V169" s="38" t="n">
        <v>4865.017</v>
      </c>
      <c r="W169" s="38" t="n">
        <v>0</v>
      </c>
    </row>
    <row r="170">
      <c r="A170" s="35" t="inlineStr">
        <is>
          <t>2008-10</t>
        </is>
      </c>
      <c r="B170" s="35" t="n">
        <v>2008</v>
      </c>
      <c r="C170" s="35" t="n">
        <v>10</v>
      </c>
      <c r="D170" s="36" t="n">
        <v>-10652.156</v>
      </c>
      <c r="E170" s="36" t="n">
        <v>-18381.521</v>
      </c>
      <c r="F170" s="36" t="n">
        <v>6375.031</v>
      </c>
      <c r="G170" s="36" t="n">
        <v/>
      </c>
      <c r="H170" s="36" t="n">
        <v/>
      </c>
      <c r="I170" s="36" t="n">
        <v>22785.18</v>
      </c>
      <c r="J170" s="36" t="n">
        <v/>
      </c>
      <c r="K170" s="36" t="n">
        <v/>
      </c>
      <c r="L170" s="36" t="n">
        <v/>
      </c>
      <c r="M170" s="36" t="n">
        <v/>
      </c>
      <c r="N170" s="36" t="n">
        <v>-28.327</v>
      </c>
      <c r="O170" s="36" t="n">
        <v>-4383.473</v>
      </c>
      <c r="P170" s="36" t="n">
        <v/>
      </c>
      <c r="Q170" s="36" t="n">
        <v>123.297</v>
      </c>
      <c r="R170" s="36" t="n">
        <v>132774.206</v>
      </c>
      <c r="S170" s="36" t="n">
        <v>99045.163</v>
      </c>
      <c r="T170" s="36" t="n">
        <v>33729.043</v>
      </c>
      <c r="U170" s="36" t="n">
        <v>-4161.969</v>
      </c>
      <c r="V170" s="36" t="n">
        <v>-4161.969</v>
      </c>
      <c r="W170" s="36" t="n">
        <v>0</v>
      </c>
    </row>
    <row r="171">
      <c r="A171" s="37" t="inlineStr">
        <is>
          <t>2008-11</t>
        </is>
      </c>
      <c r="B171" s="37" t="n">
        <v>2008</v>
      </c>
      <c r="C171" s="37" t="n">
        <v>11</v>
      </c>
      <c r="D171" s="38" t="n">
        <v>-8681.602000000001</v>
      </c>
      <c r="E171" s="38" t="n">
        <v>-16786.123</v>
      </c>
      <c r="F171" s="38" t="n">
        <v>26538.56</v>
      </c>
      <c r="G171" s="38" t="n">
        <v/>
      </c>
      <c r="H171" s="38" t="n">
        <v/>
      </c>
      <c r="I171" s="38" t="n">
        <v>-2140.64</v>
      </c>
      <c r="J171" s="38" t="n">
        <v/>
      </c>
      <c r="K171" s="38" t="n">
        <v/>
      </c>
      <c r="L171" s="38" t="n">
        <v/>
      </c>
      <c r="M171" s="38" t="n">
        <v/>
      </c>
      <c r="N171" s="38" t="n">
        <v>-0.065</v>
      </c>
      <c r="O171" s="38" t="n">
        <v>560.378</v>
      </c>
      <c r="P171" s="38" t="n">
        <v/>
      </c>
      <c r="Q171" s="38" t="n">
        <v>54.046</v>
      </c>
      <c r="R171" s="38" t="n">
        <v>132318.76</v>
      </c>
      <c r="S171" s="38" t="n">
        <v>102430.156</v>
      </c>
      <c r="T171" s="38" t="n">
        <v>29888.604</v>
      </c>
      <c r="U171" s="38" t="n">
        <v>-455.446</v>
      </c>
      <c r="V171" s="38" t="n">
        <v>-455.446</v>
      </c>
      <c r="W171" s="38" t="n">
        <v>0</v>
      </c>
    </row>
    <row r="172">
      <c r="A172" s="35" t="inlineStr">
        <is>
          <t>2008-12</t>
        </is>
      </c>
      <c r="B172" s="35" t="n">
        <v>2008</v>
      </c>
      <c r="C172" s="35" t="n">
        <v>12</v>
      </c>
      <c r="D172" s="36" t="n">
        <v>-3477.074</v>
      </c>
      <c r="E172" s="36" t="n">
        <v>-7846.766</v>
      </c>
      <c r="F172" s="36" t="n">
        <v>-18947.937</v>
      </c>
      <c r="G172" s="36" t="n">
        <v/>
      </c>
      <c r="H172" s="36" t="n">
        <v/>
      </c>
      <c r="I172" s="36" t="n">
        <v>44336.711</v>
      </c>
      <c r="J172" s="36" t="n">
        <v/>
      </c>
      <c r="K172" s="36" t="n">
        <v/>
      </c>
      <c r="L172" s="36" t="n">
        <v/>
      </c>
      <c r="M172" s="36" t="n">
        <v/>
      </c>
      <c r="N172" s="36" t="n">
        <v>-0.007</v>
      </c>
      <c r="O172" s="36" t="n">
        <v>983.582</v>
      </c>
      <c r="P172" s="36" t="n">
        <v/>
      </c>
      <c r="Q172" s="36" t="n">
        <v>182.436</v>
      </c>
      <c r="R172" s="36" t="n">
        <v>147549.705</v>
      </c>
      <c r="S172" s="36" t="n">
        <v>115590.704</v>
      </c>
      <c r="T172" s="36" t="n">
        <v>31959.001</v>
      </c>
      <c r="U172" s="36" t="n">
        <v>15230.945</v>
      </c>
      <c r="V172" s="36" t="n">
        <v>15230.945</v>
      </c>
      <c r="W172" s="36" t="n">
        <v>0</v>
      </c>
    </row>
    <row r="173">
      <c r="A173" s="37" t="inlineStr">
        <is>
          <t>2009-01</t>
        </is>
      </c>
      <c r="B173" s="37" t="n">
        <v>2009</v>
      </c>
      <c r="C173" s="37" t="n">
        <v>1</v>
      </c>
      <c r="D173" s="38" t="n">
        <v>9986.573</v>
      </c>
      <c r="E173" s="38" t="n">
        <v>-3048.693</v>
      </c>
      <c r="F173" s="38" t="n">
        <v>-16355.087</v>
      </c>
      <c r="G173" s="38" t="n">
        <v/>
      </c>
      <c r="H173" s="38" t="n">
        <v/>
      </c>
      <c r="I173" s="38" t="n">
        <v>889.841</v>
      </c>
      <c r="J173" s="38" t="n">
        <v/>
      </c>
      <c r="K173" s="38" t="n">
        <v/>
      </c>
      <c r="L173" s="38" t="n">
        <v/>
      </c>
      <c r="M173" s="38" t="n">
        <v/>
      </c>
      <c r="N173" s="38" t="n">
        <v>-0.095</v>
      </c>
      <c r="O173" s="38" t="n">
        <v>-1701.943</v>
      </c>
      <c r="P173" s="38" t="n">
        <v/>
      </c>
      <c r="Q173" s="38" t="n">
        <v>217.574</v>
      </c>
      <c r="R173" s="38" t="n">
        <v>137537.875</v>
      </c>
      <c r="S173" s="38" t="n">
        <v>103358.929</v>
      </c>
      <c r="T173" s="38" t="n">
        <v>34178.946</v>
      </c>
      <c r="U173" s="38" t="n">
        <v>-10011.83</v>
      </c>
      <c r="V173" s="38" t="n">
        <v>-10011.83</v>
      </c>
      <c r="W173" s="38" t="n">
        <v>0</v>
      </c>
    </row>
    <row r="174">
      <c r="A174" s="35" t="inlineStr">
        <is>
          <t>2009-02</t>
        </is>
      </c>
      <c r="B174" s="35" t="n">
        <v>2009</v>
      </c>
      <c r="C174" s="35" t="n">
        <v>2</v>
      </c>
      <c r="D174" s="36" t="n">
        <v>-6918.966</v>
      </c>
      <c r="E174" s="36" t="n">
        <v>1277.281</v>
      </c>
      <c r="F174" s="36" t="n">
        <v>3527.204</v>
      </c>
      <c r="G174" s="36" t="n">
        <v/>
      </c>
      <c r="H174" s="36" t="n">
        <v/>
      </c>
      <c r="I174" s="36" t="n">
        <v>162.646</v>
      </c>
      <c r="J174" s="36" t="n">
        <v/>
      </c>
      <c r="K174" s="36" t="n">
        <v/>
      </c>
      <c r="L174" s="36" t="n">
        <v/>
      </c>
      <c r="M174" s="36" t="n">
        <v/>
      </c>
      <c r="N174" s="36" t="n">
        <v>-0.07199999999999999</v>
      </c>
      <c r="O174" s="36" t="n">
        <v>415.354</v>
      </c>
      <c r="P174" s="36" t="n">
        <v/>
      </c>
      <c r="Q174" s="36" t="n">
        <v>266.584</v>
      </c>
      <c r="R174" s="36" t="n">
        <v>136267.906</v>
      </c>
      <c r="S174" s="36" t="n">
        <v>103124.591</v>
      </c>
      <c r="T174" s="36" t="n">
        <v>33143.315</v>
      </c>
      <c r="U174" s="36" t="n">
        <v>-1269.969</v>
      </c>
      <c r="V174" s="36" t="n">
        <v>-1269.969</v>
      </c>
      <c r="W174" s="36" t="n">
        <v>0</v>
      </c>
    </row>
    <row r="175">
      <c r="A175" s="37" t="inlineStr">
        <is>
          <t>2009-03</t>
        </is>
      </c>
      <c r="B175" s="37" t="n">
        <v>2009</v>
      </c>
      <c r="C175" s="37" t="n">
        <v>3</v>
      </c>
      <c r="D175" s="38" t="n">
        <v>-7305.667</v>
      </c>
      <c r="E175" s="38" t="n">
        <v>1978.459</v>
      </c>
      <c r="F175" s="38" t="n">
        <v>3962.999</v>
      </c>
      <c r="G175" s="38" t="n">
        <v/>
      </c>
      <c r="H175" s="38" t="n">
        <v/>
      </c>
      <c r="I175" s="38" t="n">
        <v>396.556</v>
      </c>
      <c r="J175" s="38" t="n">
        <v/>
      </c>
      <c r="K175" s="38" t="n">
        <v/>
      </c>
      <c r="L175" s="38" t="n">
        <v/>
      </c>
      <c r="M175" s="38" t="n">
        <v/>
      </c>
      <c r="N175" s="38" t="n">
        <v>-0.047</v>
      </c>
      <c r="O175" s="38" t="n">
        <v>-424.052</v>
      </c>
      <c r="P175" s="38" t="n">
        <v/>
      </c>
      <c r="Q175" s="38" t="n">
        <v>180.211</v>
      </c>
      <c r="R175" s="38" t="n">
        <v>135056.365</v>
      </c>
      <c r="S175" s="38" t="n">
        <v>99304.427</v>
      </c>
      <c r="T175" s="38" t="n">
        <v>35751.938</v>
      </c>
      <c r="U175" s="38" t="n">
        <v>-1211.541</v>
      </c>
      <c r="V175" s="38" t="n">
        <v>-1211.541</v>
      </c>
      <c r="W175" s="38" t="n">
        <v>0</v>
      </c>
    </row>
    <row r="176">
      <c r="A176" s="35" t="inlineStr">
        <is>
          <t>2009-04</t>
        </is>
      </c>
      <c r="B176" s="35" t="n">
        <v>2009</v>
      </c>
      <c r="C176" s="35" t="n">
        <v>4</v>
      </c>
      <c r="D176" s="36" t="n">
        <v>-10218.689</v>
      </c>
      <c r="E176" s="36" t="n">
        <v>2322.533</v>
      </c>
      <c r="F176" s="36" t="n">
        <v>19209.052</v>
      </c>
      <c r="G176" s="36" t="n">
        <v/>
      </c>
      <c r="H176" s="36" t="n">
        <v/>
      </c>
      <c r="I176" s="36" t="n">
        <v>-299.506</v>
      </c>
      <c r="J176" s="36" t="n">
        <v/>
      </c>
      <c r="K176" s="36" t="n">
        <v/>
      </c>
      <c r="L176" s="36" t="n">
        <v/>
      </c>
      <c r="M176" s="36" t="n">
        <v/>
      </c>
      <c r="N176" s="36" t="n">
        <v>0.695</v>
      </c>
      <c r="O176" s="36" t="n">
        <v>-1391.114</v>
      </c>
      <c r="P176" s="36" t="n">
        <v/>
      </c>
      <c r="Q176" s="36" t="n">
        <v>83.21599999999999</v>
      </c>
      <c r="R176" s="36" t="n">
        <v>144762.552</v>
      </c>
      <c r="S176" s="36" t="n">
        <v>101681.988</v>
      </c>
      <c r="T176" s="36" t="n">
        <v>43080.564</v>
      </c>
      <c r="U176" s="36" t="n">
        <v>9706.187</v>
      </c>
      <c r="V176" s="36" t="n">
        <v>9706.187</v>
      </c>
      <c r="W176" s="36" t="n">
        <v>0</v>
      </c>
    </row>
    <row r="177">
      <c r="A177" s="37" t="inlineStr">
        <is>
          <t>2009-05</t>
        </is>
      </c>
      <c r="B177" s="37" t="n">
        <v>2009</v>
      </c>
      <c r="C177" s="37" t="n">
        <v>5</v>
      </c>
      <c r="D177" s="38" t="n">
        <v>-5518.799</v>
      </c>
      <c r="E177" s="38" t="n">
        <v>6823.251</v>
      </c>
      <c r="F177" s="38" t="n">
        <v>-12857.228</v>
      </c>
      <c r="G177" s="38" t="n">
        <v/>
      </c>
      <c r="H177" s="38" t="n">
        <v/>
      </c>
      <c r="I177" s="38" t="n">
        <v>93.339</v>
      </c>
      <c r="J177" s="38" t="n">
        <v/>
      </c>
      <c r="K177" s="38" t="n">
        <v/>
      </c>
      <c r="L177" s="38" t="n">
        <v/>
      </c>
      <c r="M177" s="38" t="n">
        <v/>
      </c>
      <c r="N177" s="38" t="n">
        <v>-0.758</v>
      </c>
      <c r="O177" s="38" t="n">
        <v>-80.033</v>
      </c>
      <c r="P177" s="38" t="n">
        <v/>
      </c>
      <c r="Q177" s="38" t="n">
        <v>100.596</v>
      </c>
      <c r="R177" s="38" t="n">
        <v>133322.92</v>
      </c>
      <c r="S177" s="38" t="n">
        <v>102161.375</v>
      </c>
      <c r="T177" s="38" t="n">
        <v>31161.545</v>
      </c>
      <c r="U177" s="38" t="n">
        <v>-11439.632</v>
      </c>
      <c r="V177" s="38" t="n">
        <v>-11439.632</v>
      </c>
      <c r="W177" s="38" t="n">
        <v>0</v>
      </c>
    </row>
    <row r="178">
      <c r="A178" s="35" t="inlineStr">
        <is>
          <t>2009-06</t>
        </is>
      </c>
      <c r="B178" s="35" t="n">
        <v>2009</v>
      </c>
      <c r="C178" s="35" t="n">
        <v>6</v>
      </c>
      <c r="D178" s="36" t="n">
        <v>2739.474</v>
      </c>
      <c r="E178" s="36" t="n">
        <v>11025.498</v>
      </c>
      <c r="F178" s="36" t="n">
        <v>-8664.941000000001</v>
      </c>
      <c r="G178" s="36" t="n">
        <v/>
      </c>
      <c r="H178" s="36" t="n">
        <v/>
      </c>
      <c r="I178" s="36" t="n">
        <v>-322.424</v>
      </c>
      <c r="J178" s="36" t="n">
        <v/>
      </c>
      <c r="K178" s="36" t="n">
        <v/>
      </c>
      <c r="L178" s="36" t="n">
        <v/>
      </c>
      <c r="M178" s="36" t="n">
        <v/>
      </c>
      <c r="N178" s="36" t="n">
        <v>22.106</v>
      </c>
      <c r="O178" s="36" t="n">
        <v>-14.467</v>
      </c>
      <c r="P178" s="36" t="n">
        <v/>
      </c>
      <c r="Q178" s="36" t="n">
        <v>1077.669</v>
      </c>
      <c r="R178" s="36" t="n">
        <v>139185.835</v>
      </c>
      <c r="S178" s="36" t="n">
        <v>103474.382</v>
      </c>
      <c r="T178" s="36" t="n">
        <v>35711.453</v>
      </c>
      <c r="U178" s="36" t="n">
        <v>5862.915</v>
      </c>
      <c r="V178" s="36" t="n">
        <v>5862.915</v>
      </c>
      <c r="W178" s="36" t="n">
        <v>0</v>
      </c>
    </row>
    <row r="179">
      <c r="A179" s="37" t="inlineStr">
        <is>
          <t>2009-07</t>
        </is>
      </c>
      <c r="B179" s="37" t="n">
        <v>2009</v>
      </c>
      <c r="C179" s="37" t="n">
        <v>7</v>
      </c>
      <c r="D179" s="38" t="n">
        <v>1946.574</v>
      </c>
      <c r="E179" s="38" t="n">
        <v>7519.541</v>
      </c>
      <c r="F179" s="38" t="n">
        <v>-12591.327</v>
      </c>
      <c r="G179" s="38" t="n">
        <v/>
      </c>
      <c r="H179" s="38" t="n">
        <v/>
      </c>
      <c r="I179" s="38" t="n">
        <v>-816.269</v>
      </c>
      <c r="J179" s="38" t="n">
        <v/>
      </c>
      <c r="K179" s="38" t="n">
        <v/>
      </c>
      <c r="L179" s="38" t="n">
        <v/>
      </c>
      <c r="M179" s="38" t="n">
        <v/>
      </c>
      <c r="N179" s="38" t="n">
        <v>-22.533</v>
      </c>
      <c r="O179" s="38" t="n">
        <v>-2.661</v>
      </c>
      <c r="P179" s="38" t="n">
        <v/>
      </c>
      <c r="Q179" s="38" t="n">
        <v>326.683</v>
      </c>
      <c r="R179" s="38" t="n">
        <v>135545.843</v>
      </c>
      <c r="S179" s="38" t="n">
        <v>105082.619</v>
      </c>
      <c r="T179" s="38" t="n">
        <v>30463.224</v>
      </c>
      <c r="U179" s="38" t="n">
        <v>-3639.992</v>
      </c>
      <c r="V179" s="38" t="n">
        <v>-3639.992</v>
      </c>
      <c r="W179" s="38" t="n">
        <v>0</v>
      </c>
    </row>
    <row r="180">
      <c r="A180" s="35" t="inlineStr">
        <is>
          <t>2009-08</t>
        </is>
      </c>
      <c r="B180" s="35" t="n">
        <v>2009</v>
      </c>
      <c r="C180" s="35" t="n">
        <v>8</v>
      </c>
      <c r="D180" s="36" t="n">
        <v>-6321.899</v>
      </c>
      <c r="E180" s="36" t="n">
        <v>5097.093</v>
      </c>
      <c r="F180" s="36" t="n">
        <v>3625.79</v>
      </c>
      <c r="G180" s="36" t="n">
        <v/>
      </c>
      <c r="H180" s="36" t="n">
        <v/>
      </c>
      <c r="I180" s="36" t="n">
        <v>-1111.028</v>
      </c>
      <c r="J180" s="36" t="n">
        <v/>
      </c>
      <c r="K180" s="36" t="n">
        <v/>
      </c>
      <c r="L180" s="36" t="n">
        <v/>
      </c>
      <c r="M180" s="36" t="n">
        <v/>
      </c>
      <c r="N180" s="36" t="n">
        <v>76.078</v>
      </c>
      <c r="O180" s="36" t="n">
        <v>0</v>
      </c>
      <c r="P180" s="36" t="n">
        <v/>
      </c>
      <c r="Q180" s="36" t="n">
        <v>107.084</v>
      </c>
      <c r="R180" s="36" t="n">
        <v>137018.961</v>
      </c>
      <c r="S180" s="36" t="n">
        <v>107131.584</v>
      </c>
      <c r="T180" s="36" t="n">
        <v>29887.377</v>
      </c>
      <c r="U180" s="36" t="n">
        <v>1473.118</v>
      </c>
      <c r="V180" s="36" t="n">
        <v>1473.118</v>
      </c>
      <c r="W180" s="36" t="n">
        <v>0</v>
      </c>
    </row>
    <row r="181">
      <c r="A181" s="37" t="inlineStr">
        <is>
          <t>2009-09</t>
        </is>
      </c>
      <c r="B181" s="37" t="n">
        <v>2009</v>
      </c>
      <c r="C181" s="37" t="n">
        <v>9</v>
      </c>
      <c r="D181" s="38" t="n">
        <v>5900.874</v>
      </c>
      <c r="E181" s="38" t="n">
        <v>6419.323</v>
      </c>
      <c r="F181" s="38" t="n">
        <v>-2928.502</v>
      </c>
      <c r="G181" s="38" t="n">
        <v/>
      </c>
      <c r="H181" s="38" t="n">
        <v/>
      </c>
      <c r="I181" s="38" t="n">
        <v>-787.192</v>
      </c>
      <c r="J181" s="38" t="n">
        <v/>
      </c>
      <c r="K181" s="38" t="n">
        <v/>
      </c>
      <c r="L181" s="38" t="n">
        <v/>
      </c>
      <c r="M181" s="38" t="n">
        <v/>
      </c>
      <c r="N181" s="38" t="n">
        <v>-76.17</v>
      </c>
      <c r="O181" s="38" t="n">
        <v>0</v>
      </c>
      <c r="P181" s="38" t="n">
        <v/>
      </c>
      <c r="Q181" s="38" t="n">
        <v>151.165</v>
      </c>
      <c r="R181" s="38" t="n">
        <v>145698.459</v>
      </c>
      <c r="S181" s="38" t="n">
        <v>110167.848</v>
      </c>
      <c r="T181" s="38" t="n">
        <v>35530.611</v>
      </c>
      <c r="U181" s="38" t="n">
        <v>8679.498</v>
      </c>
      <c r="V181" s="38" t="n">
        <v>8679.498</v>
      </c>
      <c r="W181" s="38" t="n">
        <v>0</v>
      </c>
    </row>
    <row r="182">
      <c r="A182" s="35" t="inlineStr">
        <is>
          <t>2009-10</t>
        </is>
      </c>
      <c r="B182" s="35" t="n">
        <v>2009</v>
      </c>
      <c r="C182" s="35" t="n">
        <v>10</v>
      </c>
      <c r="D182" s="36" t="n">
        <v>-6321.984</v>
      </c>
      <c r="E182" s="36" t="n">
        <v>11885.031</v>
      </c>
      <c r="F182" s="36" t="n">
        <v>-5013.829</v>
      </c>
      <c r="G182" s="36" t="n">
        <v/>
      </c>
      <c r="H182" s="36" t="n">
        <v/>
      </c>
      <c r="I182" s="36" t="n">
        <v>655.143</v>
      </c>
      <c r="J182" s="36" t="n">
        <v/>
      </c>
      <c r="K182" s="36" t="n">
        <v/>
      </c>
      <c r="L182" s="36" t="n">
        <v/>
      </c>
      <c r="M182" s="36" t="n">
        <v/>
      </c>
      <c r="N182" s="36" t="n">
        <v>435.772</v>
      </c>
      <c r="O182" s="36" t="n">
        <v>0</v>
      </c>
      <c r="P182" s="36" t="n">
        <v/>
      </c>
      <c r="Q182" s="36" t="n">
        <v>115.349</v>
      </c>
      <c r="R182" s="36" t="n">
        <v>147453.941</v>
      </c>
      <c r="S182" s="36" t="n">
        <v>112123.031</v>
      </c>
      <c r="T182" s="36" t="n">
        <v>35330.91</v>
      </c>
      <c r="U182" s="36" t="n">
        <v>1755.482</v>
      </c>
      <c r="V182" s="36" t="n">
        <v>1755.482</v>
      </c>
      <c r="W182" s="36" t="n">
        <v>0</v>
      </c>
    </row>
    <row r="183">
      <c r="A183" s="37" t="inlineStr">
        <is>
          <t>2009-11</t>
        </is>
      </c>
      <c r="B183" s="37" t="n">
        <v>2009</v>
      </c>
      <c r="C183" s="37" t="n">
        <v>11</v>
      </c>
      <c r="D183" s="38" t="n">
        <v>-15093.679</v>
      </c>
      <c r="E183" s="38" t="n">
        <v>5300.403</v>
      </c>
      <c r="F183" s="38" t="n">
        <v>19845.165</v>
      </c>
      <c r="G183" s="38" t="n">
        <v/>
      </c>
      <c r="H183" s="38" t="n">
        <v/>
      </c>
      <c r="I183" s="38" t="n">
        <v>-277.177</v>
      </c>
      <c r="J183" s="38" t="n">
        <v/>
      </c>
      <c r="K183" s="38" t="n">
        <v/>
      </c>
      <c r="L183" s="38" t="n">
        <v/>
      </c>
      <c r="M183" s="38" t="n">
        <v/>
      </c>
      <c r="N183" s="38" t="n">
        <v>-436.126</v>
      </c>
      <c r="O183" s="38" t="n">
        <v>0</v>
      </c>
      <c r="P183" s="38" t="n">
        <v/>
      </c>
      <c r="Q183" s="38" t="n">
        <v>75.536</v>
      </c>
      <c r="R183" s="38" t="n">
        <v>156868.063</v>
      </c>
      <c r="S183" s="38" t="n">
        <v>116484.422</v>
      </c>
      <c r="T183" s="38" t="n">
        <v>40383.641</v>
      </c>
      <c r="U183" s="38" t="n">
        <v>9414.121999999999</v>
      </c>
      <c r="V183" s="38" t="n">
        <v>9414.121999999999</v>
      </c>
      <c r="W183" s="38" t="n">
        <v>0</v>
      </c>
    </row>
    <row r="184">
      <c r="A184" s="35" t="inlineStr">
        <is>
          <t>2009-12</t>
        </is>
      </c>
      <c r="B184" s="35" t="n">
        <v>2009</v>
      </c>
      <c r="C184" s="35" t="n">
        <v>12</v>
      </c>
      <c r="D184" s="36" t="n">
        <v>-15185.319</v>
      </c>
      <c r="E184" s="36" t="n">
        <v>6337.003</v>
      </c>
      <c r="F184" s="36" t="n">
        <v>19521.306</v>
      </c>
      <c r="G184" s="36" t="n">
        <v/>
      </c>
      <c r="H184" s="36" t="n">
        <v/>
      </c>
      <c r="I184" s="36" t="n">
        <v>-2009.398</v>
      </c>
      <c r="J184" s="36" t="n">
        <v/>
      </c>
      <c r="K184" s="36" t="n">
        <v/>
      </c>
      <c r="L184" s="36" t="n">
        <v/>
      </c>
      <c r="M184" s="36" t="n">
        <v/>
      </c>
      <c r="N184" s="36" t="n">
        <v>-0.031</v>
      </c>
      <c r="O184" s="36" t="n">
        <v>0</v>
      </c>
      <c r="P184" s="36" t="n">
        <v/>
      </c>
      <c r="Q184" s="36" t="n">
        <v>541.211</v>
      </c>
      <c r="R184" s="36" t="n">
        <v>166072.835</v>
      </c>
      <c r="S184" s="36" t="n">
        <v>131861.185</v>
      </c>
      <c r="T184" s="36" t="n">
        <v>34211.65</v>
      </c>
      <c r="U184" s="36" t="n">
        <v>9204.772000000001</v>
      </c>
      <c r="V184" s="36" t="n">
        <v>9204.772000000001</v>
      </c>
      <c r="W184" s="36" t="n">
        <v>0</v>
      </c>
    </row>
    <row r="185">
      <c r="A185" s="37" t="inlineStr">
        <is>
          <t>2010-01</t>
        </is>
      </c>
      <c r="B185" s="37" t="n">
        <v>2010</v>
      </c>
      <c r="C185" s="37" t="n">
        <v>1</v>
      </c>
      <c r="D185" s="38" t="n">
        <v>5879.485</v>
      </c>
      <c r="E185" s="38" t="n">
        <v>3076.572</v>
      </c>
      <c r="F185" s="38" t="n">
        <v>-18835.064</v>
      </c>
      <c r="G185" s="38" t="n">
        <v/>
      </c>
      <c r="H185" s="38" t="n">
        <v/>
      </c>
      <c r="I185" s="38" t="n">
        <v>-614.352</v>
      </c>
      <c r="J185" s="38" t="n">
        <v/>
      </c>
      <c r="K185" s="38" t="n">
        <v/>
      </c>
      <c r="L185" s="38" t="n">
        <v/>
      </c>
      <c r="M185" s="38" t="n">
        <v/>
      </c>
      <c r="N185" s="38" t="n">
        <v>-0.122</v>
      </c>
      <c r="O185" s="38" t="n">
        <v>0</v>
      </c>
      <c r="P185" s="38" t="n">
        <v/>
      </c>
      <c r="Q185" s="38" t="n">
        <v>70.971</v>
      </c>
      <c r="R185" s="38" t="n">
        <v>155650.325</v>
      </c>
      <c r="S185" s="38" t="n">
        <v>121122.443</v>
      </c>
      <c r="T185" s="38" t="n">
        <v>34527.882</v>
      </c>
      <c r="U185" s="38" t="n">
        <v>-10422.51</v>
      </c>
      <c r="V185" s="38" t="n">
        <v>-10422.51</v>
      </c>
      <c r="W185" s="38" t="n">
        <v>0</v>
      </c>
    </row>
    <row r="186">
      <c r="A186" s="35" t="inlineStr">
        <is>
          <t>2010-02</t>
        </is>
      </c>
      <c r="B186" s="35" t="n">
        <v>2010</v>
      </c>
      <c r="C186" s="35" t="n">
        <v>2</v>
      </c>
      <c r="D186" s="36" t="n">
        <v>-12285.633</v>
      </c>
      <c r="E186" s="36" t="n">
        <v>748.861</v>
      </c>
      <c r="F186" s="36" t="n">
        <v>9978.429</v>
      </c>
      <c r="G186" s="36" t="n">
        <v/>
      </c>
      <c r="H186" s="36" t="n">
        <v/>
      </c>
      <c r="I186" s="36" t="n">
        <v>-10.808</v>
      </c>
      <c r="J186" s="36" t="n">
        <v/>
      </c>
      <c r="K186" s="36" t="n">
        <v/>
      </c>
      <c r="L186" s="36" t="n">
        <v/>
      </c>
      <c r="M186" s="36" t="n">
        <v/>
      </c>
      <c r="N186" s="36" t="n">
        <v>-0.002</v>
      </c>
      <c r="O186" s="36" t="n">
        <v>0</v>
      </c>
      <c r="P186" s="36" t="n">
        <v/>
      </c>
      <c r="Q186" s="36" t="n">
        <v>253.246</v>
      </c>
      <c r="R186" s="36" t="n">
        <v>154334.418</v>
      </c>
      <c r="S186" s="36" t="n">
        <v>120541.695</v>
      </c>
      <c r="T186" s="36" t="n">
        <v>33792.723</v>
      </c>
      <c r="U186" s="36" t="n">
        <v>-1315.907</v>
      </c>
      <c r="V186" s="36" t="n">
        <v>-1315.907</v>
      </c>
      <c r="W186" s="36" t="n">
        <v>0</v>
      </c>
    </row>
    <row r="187">
      <c r="A187" s="37" t="inlineStr">
        <is>
          <t>2010-03</t>
        </is>
      </c>
      <c r="B187" s="37" t="n">
        <v>2010</v>
      </c>
      <c r="C187" s="37" t="n">
        <v>3</v>
      </c>
      <c r="D187" s="38" t="n">
        <v>2543.965</v>
      </c>
      <c r="E187" s="38" t="n">
        <v>5255.923</v>
      </c>
      <c r="F187" s="38" t="n">
        <v>82893.299</v>
      </c>
      <c r="G187" s="38" t="n">
        <v/>
      </c>
      <c r="H187" s="38" t="n">
        <v/>
      </c>
      <c r="I187" s="38" t="n">
        <v>-88503.117</v>
      </c>
      <c r="J187" s="38" t="n">
        <v/>
      </c>
      <c r="K187" s="38" t="n">
        <v/>
      </c>
      <c r="L187" s="38" t="n">
        <v/>
      </c>
      <c r="M187" s="38" t="n">
        <v/>
      </c>
      <c r="N187" s="38" t="n">
        <v>-0.004</v>
      </c>
      <c r="O187" s="38" t="n">
        <v>0</v>
      </c>
      <c r="P187" s="38" t="n">
        <v/>
      </c>
      <c r="Q187" s="38" t="n">
        <v>185.782</v>
      </c>
      <c r="R187" s="38" t="n">
        <v>156710.266</v>
      </c>
      <c r="S187" s="38" t="n">
        <v>119108.107</v>
      </c>
      <c r="T187" s="38" t="n">
        <v>37602.159</v>
      </c>
      <c r="U187" s="38" t="n">
        <v>2375.848</v>
      </c>
      <c r="V187" s="38" t="n">
        <v>2375.848</v>
      </c>
      <c r="W187" s="38" t="n">
        <v>0</v>
      </c>
    </row>
    <row r="188">
      <c r="A188" s="35" t="inlineStr">
        <is>
          <t>2010-04</t>
        </is>
      </c>
      <c r="B188" s="35" t="n">
        <v>2010</v>
      </c>
      <c r="C188" s="35" t="n">
        <v>4</v>
      </c>
      <c r="D188" s="36" t="n">
        <v>-9077.097</v>
      </c>
      <c r="E188" s="36" t="n">
        <v>5409.433</v>
      </c>
      <c r="F188" s="36" t="n">
        <v>63585.878</v>
      </c>
      <c r="G188" s="36" t="n">
        <v/>
      </c>
      <c r="H188" s="36" t="n">
        <v/>
      </c>
      <c r="I188" s="36" t="n">
        <v>-62089.678</v>
      </c>
      <c r="J188" s="36" t="n">
        <v/>
      </c>
      <c r="K188" s="36" t="n">
        <v/>
      </c>
      <c r="L188" s="36" t="n">
        <v/>
      </c>
      <c r="M188" s="36" t="n">
        <v/>
      </c>
      <c r="N188" s="36" t="n">
        <v>-0.08500000000000001</v>
      </c>
      <c r="O188" s="36" t="n">
        <v>0</v>
      </c>
      <c r="P188" s="36" t="n">
        <v/>
      </c>
      <c r="Q188" s="36" t="n">
        <v>88.60899999999999</v>
      </c>
      <c r="R188" s="36" t="n">
        <v>154627.326</v>
      </c>
      <c r="S188" s="36" t="n">
        <v>118866.248</v>
      </c>
      <c r="T188" s="36" t="n">
        <v>35761.078</v>
      </c>
      <c r="U188" s="36" t="n">
        <v>-2082.94</v>
      </c>
      <c r="V188" s="36" t="n">
        <v>-2082.94</v>
      </c>
      <c r="W188" s="36" t="n">
        <v>0</v>
      </c>
    </row>
    <row r="189">
      <c r="A189" s="37" t="inlineStr">
        <is>
          <t>2010-05</t>
        </is>
      </c>
      <c r="B189" s="37" t="n">
        <v>2010</v>
      </c>
      <c r="C189" s="37" t="n">
        <v>5</v>
      </c>
      <c r="D189" s="38" t="n">
        <v>-8052.072</v>
      </c>
      <c r="E189" s="38" t="n">
        <v>7386.642</v>
      </c>
      <c r="F189" s="38" t="n">
        <v>5113.844</v>
      </c>
      <c r="G189" s="38" t="n">
        <v/>
      </c>
      <c r="H189" s="38" t="n">
        <v/>
      </c>
      <c r="I189" s="38" t="n">
        <v>-497.855</v>
      </c>
      <c r="J189" s="38" t="n">
        <v/>
      </c>
      <c r="K189" s="38" t="n">
        <v/>
      </c>
      <c r="L189" s="38" t="n">
        <v/>
      </c>
      <c r="M189" s="38" t="n">
        <v/>
      </c>
      <c r="N189" s="38" t="n">
        <v>-0.038</v>
      </c>
      <c r="O189" s="38" t="n">
        <v>0</v>
      </c>
      <c r="P189" s="38" t="n">
        <v/>
      </c>
      <c r="Q189" s="38" t="n">
        <v>109.462</v>
      </c>
      <c r="R189" s="38" t="n">
        <v>158687.309</v>
      </c>
      <c r="S189" s="38" t="n">
        <v>120033.926</v>
      </c>
      <c r="T189" s="38" t="n">
        <v>38653.383</v>
      </c>
      <c r="U189" s="38" t="n">
        <v>4059.983</v>
      </c>
      <c r="V189" s="38" t="n">
        <v>4059.983</v>
      </c>
      <c r="W189" s="38" t="n">
        <v>0</v>
      </c>
    </row>
    <row r="190">
      <c r="A190" s="35" t="inlineStr">
        <is>
          <t>2010-06</t>
        </is>
      </c>
      <c r="B190" s="35" t="n">
        <v>2010</v>
      </c>
      <c r="C190" s="35" t="n">
        <v>6</v>
      </c>
      <c r="D190" s="36" t="n">
        <v>177.117</v>
      </c>
      <c r="E190" s="36" t="n">
        <v>3664.627</v>
      </c>
      <c r="F190" s="36" t="n">
        <v>-1265.68</v>
      </c>
      <c r="G190" s="36" t="n">
        <v/>
      </c>
      <c r="H190" s="36" t="n">
        <v/>
      </c>
      <c r="I190" s="36" t="n">
        <v>-1835.46</v>
      </c>
      <c r="J190" s="36" t="n">
        <v/>
      </c>
      <c r="K190" s="36" t="n">
        <v/>
      </c>
      <c r="L190" s="36" t="n">
        <v/>
      </c>
      <c r="M190" s="36" t="n">
        <v/>
      </c>
      <c r="N190" s="36" t="n">
        <v>0</v>
      </c>
      <c r="O190" s="36" t="n">
        <v>0</v>
      </c>
      <c r="P190" s="36" t="n">
        <v/>
      </c>
      <c r="Q190" s="36" t="n">
        <v>200.056</v>
      </c>
      <c r="R190" s="36" t="n">
        <v>159627.969</v>
      </c>
      <c r="S190" s="36" t="n">
        <v>120771.511</v>
      </c>
      <c r="T190" s="36" t="n">
        <v>38856.458</v>
      </c>
      <c r="U190" s="36" t="n">
        <v>940.66</v>
      </c>
      <c r="V190" s="36" t="n">
        <v>940.66</v>
      </c>
      <c r="W190" s="36" t="n">
        <v>0</v>
      </c>
    </row>
    <row r="191">
      <c r="A191" s="37" t="inlineStr">
        <is>
          <t>2010-07</t>
        </is>
      </c>
      <c r="B191" s="37" t="n">
        <v>2010</v>
      </c>
      <c r="C191" s="37" t="n">
        <v>7</v>
      </c>
      <c r="D191" s="38" t="n">
        <v>6097.293</v>
      </c>
      <c r="E191" s="38" t="n">
        <v>2763.286</v>
      </c>
      <c r="F191" s="38" t="n">
        <v>-1830.877</v>
      </c>
      <c r="G191" s="38" t="n">
        <v/>
      </c>
      <c r="H191" s="38" t="n">
        <v/>
      </c>
      <c r="I191" s="38" t="n">
        <v>-4489.775</v>
      </c>
      <c r="J191" s="38" t="n">
        <v/>
      </c>
      <c r="K191" s="38" t="n">
        <v/>
      </c>
      <c r="L191" s="38" t="n">
        <v/>
      </c>
      <c r="M191" s="38" t="n">
        <v/>
      </c>
      <c r="N191" s="38" t="n">
        <v>0</v>
      </c>
      <c r="O191" s="38" t="n">
        <v>0</v>
      </c>
      <c r="P191" s="38" t="n">
        <v/>
      </c>
      <c r="Q191" s="38" t="n">
        <v>360.445</v>
      </c>
      <c r="R191" s="38" t="n">
        <v>162528.341</v>
      </c>
      <c r="S191" s="38" t="n">
        <v>123907.497</v>
      </c>
      <c r="T191" s="38" t="n">
        <v>38620.844</v>
      </c>
      <c r="U191" s="38" t="n">
        <v>2900.372</v>
      </c>
      <c r="V191" s="38" t="n">
        <v>2900.372</v>
      </c>
      <c r="W191" s="38" t="n">
        <v>0</v>
      </c>
    </row>
    <row r="192">
      <c r="A192" s="35" t="inlineStr">
        <is>
          <t>2010-08</t>
        </is>
      </c>
      <c r="B192" s="35" t="n">
        <v>2010</v>
      </c>
      <c r="C192" s="35" t="n">
        <v>8</v>
      </c>
      <c r="D192" s="36" t="n">
        <v>-6594.826</v>
      </c>
      <c r="E192" s="36" t="n">
        <v>7212.622</v>
      </c>
      <c r="F192" s="36" t="n">
        <v>10592.629</v>
      </c>
      <c r="G192" s="36" t="n">
        <v/>
      </c>
      <c r="H192" s="36" t="n">
        <v/>
      </c>
      <c r="I192" s="36" t="n">
        <v>-921.845</v>
      </c>
      <c r="J192" s="36" t="n">
        <v/>
      </c>
      <c r="K192" s="36" t="n">
        <v/>
      </c>
      <c r="L192" s="36" t="n">
        <v/>
      </c>
      <c r="M192" s="36" t="n">
        <v/>
      </c>
      <c r="N192" s="36" t="n">
        <v>0</v>
      </c>
      <c r="O192" s="36" t="n">
        <v>0</v>
      </c>
      <c r="P192" s="36" t="n">
        <v/>
      </c>
      <c r="Q192" s="36" t="n">
        <v>425.729</v>
      </c>
      <c r="R192" s="36" t="n">
        <v>173242.65</v>
      </c>
      <c r="S192" s="36" t="n">
        <v>127034.627</v>
      </c>
      <c r="T192" s="36" t="n">
        <v>46208.023</v>
      </c>
      <c r="U192" s="36" t="n">
        <v>10714.309</v>
      </c>
      <c r="V192" s="36" t="n">
        <v>10714.309</v>
      </c>
      <c r="W192" s="36" t="n">
        <v>0</v>
      </c>
    </row>
    <row r="193">
      <c r="A193" s="37" t="inlineStr">
        <is>
          <t>2010-09</t>
        </is>
      </c>
      <c r="B193" s="37" t="n">
        <v>2010</v>
      </c>
      <c r="C193" s="37" t="n">
        <v>9</v>
      </c>
      <c r="D193" s="38" t="n">
        <v>-2503.311</v>
      </c>
      <c r="E193" s="38" t="n">
        <v>18599.808</v>
      </c>
      <c r="F193" s="38" t="n">
        <v>-8958.343999999999</v>
      </c>
      <c r="G193" s="38" t="n">
        <v/>
      </c>
      <c r="H193" s="38" t="n">
        <v/>
      </c>
      <c r="I193" s="38" t="n">
        <v>-4802.671</v>
      </c>
      <c r="J193" s="38" t="n">
        <v/>
      </c>
      <c r="K193" s="38" t="n">
        <v/>
      </c>
      <c r="L193" s="38" t="n">
        <v/>
      </c>
      <c r="M193" s="38" t="n">
        <v/>
      </c>
      <c r="N193" s="38" t="n">
        <v>0</v>
      </c>
      <c r="O193" s="38" t="n">
        <v>0</v>
      </c>
      <c r="P193" s="38" t="n">
        <v/>
      </c>
      <c r="Q193" s="38" t="n">
        <v>423.596</v>
      </c>
      <c r="R193" s="38" t="n">
        <v>176001.728</v>
      </c>
      <c r="S193" s="38" t="n">
        <v>131585.36</v>
      </c>
      <c r="T193" s="38" t="n">
        <v>44416.368</v>
      </c>
      <c r="U193" s="38" t="n">
        <v>2759.078</v>
      </c>
      <c r="V193" s="38" t="n">
        <v>2759.078</v>
      </c>
      <c r="W193" s="38" t="n">
        <v>0</v>
      </c>
    </row>
    <row r="194">
      <c r="A194" s="35" t="inlineStr">
        <is>
          <t>2010-10</t>
        </is>
      </c>
      <c r="B194" s="35" t="n">
        <v>2010</v>
      </c>
      <c r="C194" s="35" t="n">
        <v>10</v>
      </c>
      <c r="D194" s="36" t="n">
        <v>1795.696</v>
      </c>
      <c r="E194" s="36" t="n">
        <v>12949.414</v>
      </c>
      <c r="F194" s="36" t="n">
        <v>-11612.102</v>
      </c>
      <c r="G194" s="36" t="n">
        <v/>
      </c>
      <c r="H194" s="36" t="n">
        <v/>
      </c>
      <c r="I194" s="36" t="n">
        <v>-2212.196</v>
      </c>
      <c r="J194" s="36" t="n">
        <v/>
      </c>
      <c r="K194" s="36" t="n">
        <v/>
      </c>
      <c r="L194" s="36" t="n">
        <v/>
      </c>
      <c r="M194" s="36" t="n">
        <v/>
      </c>
      <c r="N194" s="36" t="n">
        <v>20.197</v>
      </c>
      <c r="O194" s="36" t="n">
        <v>0</v>
      </c>
      <c r="P194" s="36" t="n">
        <v/>
      </c>
      <c r="Q194" s="36" t="n">
        <v>491.993</v>
      </c>
      <c r="R194" s="36" t="n">
        <v>177434.73</v>
      </c>
      <c r="S194" s="36" t="n">
        <v>131645.973</v>
      </c>
      <c r="T194" s="36" t="n">
        <v>45788.757</v>
      </c>
      <c r="U194" s="36" t="n">
        <v>1433.002</v>
      </c>
      <c r="V194" s="36" t="n">
        <v>1433.002</v>
      </c>
      <c r="W194" s="36" t="n">
        <v>0</v>
      </c>
    </row>
    <row r="195">
      <c r="A195" s="37" t="inlineStr">
        <is>
          <t>2010-11</t>
        </is>
      </c>
      <c r="B195" s="37" t="n">
        <v>2010</v>
      </c>
      <c r="C195" s="37" t="n">
        <v>11</v>
      </c>
      <c r="D195" s="38" t="n">
        <v>-6304.238</v>
      </c>
      <c r="E195" s="38" t="n">
        <v>4209.318</v>
      </c>
      <c r="F195" s="38" t="n">
        <v>8307.611000000001</v>
      </c>
      <c r="G195" s="38" t="n">
        <v/>
      </c>
      <c r="H195" s="38" t="n">
        <v/>
      </c>
      <c r="I195" s="38" t="n">
        <v>-5790.554</v>
      </c>
      <c r="J195" s="38" t="n">
        <v/>
      </c>
      <c r="K195" s="38" t="n">
        <v/>
      </c>
      <c r="L195" s="38" t="n">
        <v/>
      </c>
      <c r="M195" s="38" t="n">
        <v/>
      </c>
      <c r="N195" s="38" t="n">
        <v>113.829</v>
      </c>
      <c r="O195" s="38" t="n">
        <v>0</v>
      </c>
      <c r="P195" s="38" t="n">
        <v/>
      </c>
      <c r="Q195" s="38" t="n">
        <v>514.822</v>
      </c>
      <c r="R195" s="38" t="n">
        <v>178485.518</v>
      </c>
      <c r="S195" s="38" t="n">
        <v>134669.566</v>
      </c>
      <c r="T195" s="38" t="n">
        <v>43815.952</v>
      </c>
      <c r="U195" s="38" t="n">
        <v>1050.788</v>
      </c>
      <c r="V195" s="38" t="n">
        <v>1050.788</v>
      </c>
      <c r="W195" s="38" t="n">
        <v>0</v>
      </c>
    </row>
    <row r="196">
      <c r="A196" s="35" t="inlineStr">
        <is>
          <t>2010-12</t>
        </is>
      </c>
      <c r="B196" s="35" t="n">
        <v>2010</v>
      </c>
      <c r="C196" s="35" t="n">
        <v>12</v>
      </c>
      <c r="D196" s="36" t="n">
        <v>-22880.052</v>
      </c>
      <c r="E196" s="36" t="n">
        <v>4276.126</v>
      </c>
      <c r="F196" s="36" t="n">
        <v>111543.835</v>
      </c>
      <c r="G196" s="36" t="n">
        <v/>
      </c>
      <c r="H196" s="36" t="n">
        <v/>
      </c>
      <c r="I196" s="36" t="n">
        <v>-65142.76</v>
      </c>
      <c r="J196" s="36" t="n">
        <v/>
      </c>
      <c r="K196" s="36" t="n">
        <v/>
      </c>
      <c r="L196" s="36" t="n">
        <v/>
      </c>
      <c r="M196" s="36" t="n">
        <v/>
      </c>
      <c r="N196" s="36" t="n">
        <v>-134.314</v>
      </c>
      <c r="O196" s="36" t="n">
        <v>0</v>
      </c>
      <c r="P196" s="36" t="n">
        <v/>
      </c>
      <c r="Q196" s="36" t="n">
        <v>704.9690000000001</v>
      </c>
      <c r="R196" s="36" t="n">
        <v>206853.322</v>
      </c>
      <c r="S196" s="36" t="n">
        <v>151145.368</v>
      </c>
      <c r="T196" s="36" t="n">
        <v>55707.954</v>
      </c>
      <c r="U196" s="36" t="n">
        <v>28367.804</v>
      </c>
      <c r="V196" s="36" t="n">
        <v>28367.804</v>
      </c>
      <c r="W196" s="36" t="n">
        <v>0</v>
      </c>
    </row>
    <row r="197">
      <c r="A197" s="37" t="inlineStr">
        <is>
          <t>2011-01</t>
        </is>
      </c>
      <c r="B197" s="37" t="n">
        <v>2011</v>
      </c>
      <c r="C197" s="37" t="n">
        <v>1</v>
      </c>
      <c r="D197" s="38" t="n">
        <v>16919.138</v>
      </c>
      <c r="E197" s="38" t="n">
        <v>13502.335</v>
      </c>
      <c r="F197" s="38" t="n">
        <v>-35551.496</v>
      </c>
      <c r="G197" s="38" t="n">
        <v/>
      </c>
      <c r="H197" s="38" t="n">
        <v/>
      </c>
      <c r="I197" s="38" t="n">
        <v>-8792.919</v>
      </c>
      <c r="J197" s="38" t="n">
        <v/>
      </c>
      <c r="K197" s="38" t="n">
        <v/>
      </c>
      <c r="L197" s="38" t="n">
        <v/>
      </c>
      <c r="M197" s="38" t="n">
        <v/>
      </c>
      <c r="N197" s="38" t="n">
        <v>0</v>
      </c>
      <c r="O197" s="38" t="n">
        <v>-11.839</v>
      </c>
      <c r="P197" s="38" t="n">
        <v/>
      </c>
      <c r="Q197" s="38" t="n">
        <v>628.686</v>
      </c>
      <c r="R197" s="38" t="n">
        <v>193547.227</v>
      </c>
      <c r="S197" s="38" t="n">
        <v>138318.334</v>
      </c>
      <c r="T197" s="38" t="n">
        <v>55228.893</v>
      </c>
      <c r="U197" s="38" t="n">
        <v>-13306.095</v>
      </c>
      <c r="V197" s="38" t="n">
        <v>-13306.095</v>
      </c>
      <c r="W197" s="38" t="n">
        <v>0</v>
      </c>
    </row>
    <row r="198">
      <c r="A198" s="35" t="inlineStr">
        <is>
          <t>2011-02</t>
        </is>
      </c>
      <c r="B198" s="35" t="n">
        <v>2011</v>
      </c>
      <c r="C198" s="35" t="n">
        <v>2</v>
      </c>
      <c r="D198" s="36" t="n">
        <v>-18839.239</v>
      </c>
      <c r="E198" s="36" t="n">
        <v>15238.188</v>
      </c>
      <c r="F198" s="36" t="n">
        <v>-6037.203</v>
      </c>
      <c r="G198" s="36" t="n">
        <v/>
      </c>
      <c r="H198" s="36" t="n">
        <v/>
      </c>
      <c r="I198" s="36" t="n">
        <v>580.439</v>
      </c>
      <c r="J198" s="36" t="n">
        <v/>
      </c>
      <c r="K198" s="36" t="n">
        <v/>
      </c>
      <c r="L198" s="36" t="n">
        <v/>
      </c>
      <c r="M198" s="36" t="n">
        <v/>
      </c>
      <c r="N198" s="36" t="n">
        <v>-0.002</v>
      </c>
      <c r="O198" s="36" t="n">
        <v>193.056</v>
      </c>
      <c r="P198" s="36" t="n">
        <v/>
      </c>
      <c r="Q198" s="36" t="n">
        <v>924.4640000000001</v>
      </c>
      <c r="R198" s="36" t="n">
        <v>185606.93</v>
      </c>
      <c r="S198" s="36" t="n">
        <v>135091.967</v>
      </c>
      <c r="T198" s="36" t="n">
        <v>50514.963</v>
      </c>
      <c r="U198" s="36" t="n">
        <v>-7940.297</v>
      </c>
      <c r="V198" s="36" t="n">
        <v>-7940.297</v>
      </c>
      <c r="W198" s="36" t="n">
        <v>0</v>
      </c>
    </row>
    <row r="199">
      <c r="A199" s="37" t="inlineStr">
        <is>
          <t>2011-03</t>
        </is>
      </c>
      <c r="B199" s="37" t="n">
        <v>2011</v>
      </c>
      <c r="C199" s="37" t="n">
        <v>3</v>
      </c>
      <c r="D199" s="38" t="n">
        <v>-13093.128</v>
      </c>
      <c r="E199" s="38" t="n">
        <v>14782.96</v>
      </c>
      <c r="F199" s="38" t="n">
        <v>-7126.722</v>
      </c>
      <c r="G199" s="38" t="n">
        <v/>
      </c>
      <c r="H199" s="38" t="n">
        <v/>
      </c>
      <c r="I199" s="38" t="n">
        <v>-1307.453</v>
      </c>
      <c r="J199" s="38" t="n">
        <v/>
      </c>
      <c r="K199" s="38" t="n">
        <v/>
      </c>
      <c r="L199" s="38" t="n">
        <v/>
      </c>
      <c r="M199" s="38" t="n">
        <v/>
      </c>
      <c r="N199" s="38" t="n">
        <v>-0.005</v>
      </c>
      <c r="O199" s="38" t="n">
        <v>408.273</v>
      </c>
      <c r="P199" s="38" t="n">
        <v/>
      </c>
      <c r="Q199" s="38" t="n">
        <v>647.927</v>
      </c>
      <c r="R199" s="38" t="n">
        <v>179918.782</v>
      </c>
      <c r="S199" s="38" t="n">
        <v>133099.291</v>
      </c>
      <c r="T199" s="38" t="n">
        <v>46819.491</v>
      </c>
      <c r="U199" s="38" t="n">
        <v>-5688.148</v>
      </c>
      <c r="V199" s="38" t="n">
        <v>-5688.148</v>
      </c>
      <c r="W199" s="38" t="n">
        <v>0</v>
      </c>
    </row>
    <row r="200">
      <c r="A200" s="35" t="inlineStr">
        <is>
          <t>2011-04</t>
        </is>
      </c>
      <c r="B200" s="35" t="n">
        <v>2011</v>
      </c>
      <c r="C200" s="35" t="n">
        <v>4</v>
      </c>
      <c r="D200" s="36" t="n">
        <v>-9855.731</v>
      </c>
      <c r="E200" s="36" t="n">
        <v>9770.815000000001</v>
      </c>
      <c r="F200" s="36" t="n">
        <v>-6175.258</v>
      </c>
      <c r="G200" s="36" t="n">
        <v/>
      </c>
      <c r="H200" s="36" t="n">
        <v/>
      </c>
      <c r="I200" s="36" t="n">
        <v>-2477.448</v>
      </c>
      <c r="J200" s="36" t="n">
        <v/>
      </c>
      <c r="K200" s="36" t="n">
        <v/>
      </c>
      <c r="L200" s="36" t="n">
        <v/>
      </c>
      <c r="M200" s="36" t="n">
        <v/>
      </c>
      <c r="N200" s="36" t="n">
        <v>-0.018</v>
      </c>
      <c r="O200" s="36" t="n">
        <v>921.982</v>
      </c>
      <c r="P200" s="36" t="n">
        <v/>
      </c>
      <c r="Q200" s="36" t="n">
        <v>622.3150000000001</v>
      </c>
      <c r="R200" s="36" t="n">
        <v>172725.439</v>
      </c>
      <c r="S200" s="36" t="n">
        <v>133517.139</v>
      </c>
      <c r="T200" s="36" t="n">
        <v>39208.3</v>
      </c>
      <c r="U200" s="36" t="n">
        <v>-7193.343</v>
      </c>
      <c r="V200" s="36" t="n">
        <v>-7193.343</v>
      </c>
      <c r="W200" s="36" t="n">
        <v>0</v>
      </c>
    </row>
    <row r="201">
      <c r="A201" s="37" t="inlineStr">
        <is>
          <t>2011-05</t>
        </is>
      </c>
      <c r="B201" s="37" t="n">
        <v>2011</v>
      </c>
      <c r="C201" s="37" t="n">
        <v>5</v>
      </c>
      <c r="D201" s="38" t="n">
        <v>-15696.402</v>
      </c>
      <c r="E201" s="38" t="n">
        <v>7157.548</v>
      </c>
      <c r="F201" s="38" t="n">
        <v>11437.753</v>
      </c>
      <c r="G201" s="38" t="n">
        <v/>
      </c>
      <c r="H201" s="38" t="n">
        <v/>
      </c>
      <c r="I201" s="38" t="n">
        <v>2187.435</v>
      </c>
      <c r="J201" s="38" t="n">
        <v/>
      </c>
      <c r="K201" s="38" t="n">
        <v/>
      </c>
      <c r="L201" s="38" t="n">
        <v/>
      </c>
      <c r="M201" s="38" t="n">
        <v/>
      </c>
      <c r="N201" s="38" t="n">
        <v>-0.034</v>
      </c>
      <c r="O201" s="38" t="n">
        <v>-256.169</v>
      </c>
      <c r="P201" s="38" t="n">
        <v/>
      </c>
      <c r="Q201" s="38" t="n">
        <v>742.088</v>
      </c>
      <c r="R201" s="38" t="n">
        <v>178297.658</v>
      </c>
      <c r="S201" s="38" t="n">
        <v>133106.831</v>
      </c>
      <c r="T201" s="38" t="n">
        <v>45190.827</v>
      </c>
      <c r="U201" s="38" t="n">
        <v>5572.219</v>
      </c>
      <c r="V201" s="38" t="n">
        <v>5572.219</v>
      </c>
      <c r="W201" s="38" t="n">
        <v>0</v>
      </c>
    </row>
    <row r="202">
      <c r="A202" s="35" t="inlineStr">
        <is>
          <t>2011-06</t>
        </is>
      </c>
      <c r="B202" s="35" t="n">
        <v>2011</v>
      </c>
      <c r="C202" s="35" t="n">
        <v>6</v>
      </c>
      <c r="D202" s="36" t="n">
        <v>-5682.142</v>
      </c>
      <c r="E202" s="36" t="n">
        <v>3911.807</v>
      </c>
      <c r="F202" s="36" t="n">
        <v>12726.043</v>
      </c>
      <c r="G202" s="36" t="n">
        <v/>
      </c>
      <c r="H202" s="36" t="n">
        <v/>
      </c>
      <c r="I202" s="36" t="n">
        <v>610.981</v>
      </c>
      <c r="J202" s="36" t="n">
        <v/>
      </c>
      <c r="K202" s="36" t="n">
        <v/>
      </c>
      <c r="L202" s="36" t="n">
        <v/>
      </c>
      <c r="M202" s="36" t="n">
        <v/>
      </c>
      <c r="N202" s="36" t="n">
        <v>-0.001</v>
      </c>
      <c r="O202" s="36" t="n">
        <v>355.155</v>
      </c>
      <c r="P202" s="36" t="n">
        <v/>
      </c>
      <c r="Q202" s="36" t="n">
        <v>291.361</v>
      </c>
      <c r="R202" s="36" t="n">
        <v>190510.862</v>
      </c>
      <c r="S202" s="36" t="n">
        <v>133899.009</v>
      </c>
      <c r="T202" s="36" t="n">
        <v>56611.853</v>
      </c>
      <c r="U202" s="36" t="n">
        <v>12213.204</v>
      </c>
      <c r="V202" s="36" t="n">
        <v>12213.204</v>
      </c>
      <c r="W202" s="36" t="n">
        <v>0</v>
      </c>
    </row>
    <row r="203">
      <c r="A203" s="37" t="inlineStr">
        <is>
          <t>2011-07</t>
        </is>
      </c>
      <c r="B203" s="37" t="n">
        <v>2011</v>
      </c>
      <c r="C203" s="37" t="n">
        <v>7</v>
      </c>
      <c r="D203" s="38" t="n">
        <v>-7600.064</v>
      </c>
      <c r="E203" s="38" t="n">
        <v>10504.578</v>
      </c>
      <c r="F203" s="38" t="n">
        <v>-5442.107</v>
      </c>
      <c r="G203" s="38" t="n">
        <v/>
      </c>
      <c r="H203" s="38" t="n">
        <v/>
      </c>
      <c r="I203" s="38" t="n">
        <v>-6194.084</v>
      </c>
      <c r="J203" s="38" t="n">
        <v/>
      </c>
      <c r="K203" s="38" t="n">
        <v/>
      </c>
      <c r="L203" s="38" t="n">
        <v/>
      </c>
      <c r="M203" s="38" t="n">
        <v/>
      </c>
      <c r="N203" s="38" t="n">
        <v>-0.054</v>
      </c>
      <c r="O203" s="38" t="n">
        <v>124.607</v>
      </c>
      <c r="P203" s="38" t="n">
        <v/>
      </c>
      <c r="Q203" s="38" t="n">
        <v>195.46</v>
      </c>
      <c r="R203" s="38" t="n">
        <v>182099.198</v>
      </c>
      <c r="S203" s="38" t="n">
        <v>136240.134</v>
      </c>
      <c r="T203" s="38" t="n">
        <v>45859.064</v>
      </c>
      <c r="U203" s="38" t="n">
        <v>-8411.664000000001</v>
      </c>
      <c r="V203" s="38" t="n">
        <v>-8411.664000000001</v>
      </c>
      <c r="W203" s="38" t="n">
        <v>0</v>
      </c>
    </row>
    <row r="204">
      <c r="A204" s="35" t="inlineStr">
        <is>
          <t>2011-08</t>
        </is>
      </c>
      <c r="B204" s="35" t="n">
        <v>2011</v>
      </c>
      <c r="C204" s="35" t="n">
        <v>8</v>
      </c>
      <c r="D204" s="36" t="n">
        <v>-20182.966</v>
      </c>
      <c r="E204" s="36" t="n">
        <v>7931.907</v>
      </c>
      <c r="F204" s="36" t="n">
        <v>13887.216</v>
      </c>
      <c r="G204" s="36" t="n">
        <v/>
      </c>
      <c r="H204" s="36" t="n">
        <v/>
      </c>
      <c r="I204" s="36" t="n">
        <v>-4587.612</v>
      </c>
      <c r="J204" s="36" t="n">
        <v/>
      </c>
      <c r="K204" s="36" t="n">
        <v/>
      </c>
      <c r="L204" s="36" t="n">
        <v/>
      </c>
      <c r="M204" s="36" t="n">
        <v/>
      </c>
      <c r="N204" s="36" t="n">
        <v>-0.338</v>
      </c>
      <c r="O204" s="36" t="n">
        <v>-3.856</v>
      </c>
      <c r="P204" s="36" t="n">
        <v/>
      </c>
      <c r="Q204" s="36" t="n">
        <v>141.883</v>
      </c>
      <c r="R204" s="36" t="n">
        <v>179285.432</v>
      </c>
      <c r="S204" s="36" t="n">
        <v>137401.118</v>
      </c>
      <c r="T204" s="36" t="n">
        <v>41884.314</v>
      </c>
      <c r="U204" s="36" t="n">
        <v>-2813.766</v>
      </c>
      <c r="V204" s="36" t="n">
        <v>-2813.766</v>
      </c>
      <c r="W204" s="36" t="n">
        <v>0</v>
      </c>
    </row>
    <row r="205">
      <c r="A205" s="37" t="inlineStr">
        <is>
          <t>2011-09</t>
        </is>
      </c>
      <c r="B205" s="37" t="n">
        <v>2011</v>
      </c>
      <c r="C205" s="37" t="n">
        <v>9</v>
      </c>
      <c r="D205" s="38" t="n">
        <v>-9100.755999999999</v>
      </c>
      <c r="E205" s="38" t="n">
        <v>774.7380000000001</v>
      </c>
      <c r="F205" s="38" t="n">
        <v>25736.592</v>
      </c>
      <c r="G205" s="38" t="n">
        <v/>
      </c>
      <c r="H205" s="38" t="n">
        <v/>
      </c>
      <c r="I205" s="38" t="n">
        <v>-6165.907</v>
      </c>
      <c r="J205" s="38" t="n">
        <v/>
      </c>
      <c r="K205" s="38" t="n">
        <v/>
      </c>
      <c r="L205" s="38" t="n">
        <v/>
      </c>
      <c r="M205" s="38" t="n">
        <v/>
      </c>
      <c r="N205" s="38" t="n">
        <v>-0.011</v>
      </c>
      <c r="O205" s="38" t="n">
        <v>-2212.625</v>
      </c>
      <c r="P205" s="38" t="n">
        <v/>
      </c>
      <c r="Q205" s="38" t="n">
        <v>187.286</v>
      </c>
      <c r="R205" s="38" t="n">
        <v>188504.749</v>
      </c>
      <c r="S205" s="38" t="n">
        <v>142007.944</v>
      </c>
      <c r="T205" s="38" t="n">
        <v>46496.805</v>
      </c>
      <c r="U205" s="38" t="n">
        <v>9219.316999999999</v>
      </c>
      <c r="V205" s="38" t="n">
        <v>9219.316999999999</v>
      </c>
      <c r="W205" s="38" t="n">
        <v>0</v>
      </c>
    </row>
    <row r="206">
      <c r="A206" s="35" t="inlineStr">
        <is>
          <t>2011-10</t>
        </is>
      </c>
      <c r="B206" s="35" t="n">
        <v>2011</v>
      </c>
      <c r="C206" s="35" t="n">
        <v>10</v>
      </c>
      <c r="D206" s="36" t="n">
        <v>-5390.435</v>
      </c>
      <c r="E206" s="36" t="n">
        <v>216.945</v>
      </c>
      <c r="F206" s="36" t="n">
        <v>9936.255999999999</v>
      </c>
      <c r="G206" s="36" t="n">
        <v/>
      </c>
      <c r="H206" s="36" t="n">
        <v/>
      </c>
      <c r="I206" s="36" t="n">
        <v>-4518.515</v>
      </c>
      <c r="J206" s="36" t="n">
        <v/>
      </c>
      <c r="K206" s="36" t="n">
        <v/>
      </c>
      <c r="L206" s="36" t="n">
        <v/>
      </c>
      <c r="M206" s="36" t="n">
        <v/>
      </c>
      <c r="N206" s="36" t="n">
        <v>0</v>
      </c>
      <c r="O206" s="36" t="n">
        <v>44.019</v>
      </c>
      <c r="P206" s="36" t="n">
        <v/>
      </c>
      <c r="Q206" s="36" t="n">
        <v>-723.886</v>
      </c>
      <c r="R206" s="36" t="n">
        <v>188069.133</v>
      </c>
      <c r="S206" s="36" t="n">
        <v>144053.802</v>
      </c>
      <c r="T206" s="36" t="n">
        <v>44015.331</v>
      </c>
      <c r="U206" s="36" t="n">
        <v>-435.616</v>
      </c>
      <c r="V206" s="36" t="n">
        <v>-435.616</v>
      </c>
      <c r="W206" s="36" t="n">
        <v>0</v>
      </c>
    </row>
    <row r="207">
      <c r="A207" s="37" t="inlineStr">
        <is>
          <t>2011-11</t>
        </is>
      </c>
      <c r="B207" s="37" t="n">
        <v>2011</v>
      </c>
      <c r="C207" s="37" t="n">
        <v>11</v>
      </c>
      <c r="D207" s="38" t="n">
        <v>-19165.378</v>
      </c>
      <c r="E207" s="38" t="n">
        <v>1060.782</v>
      </c>
      <c r="F207" s="38" t="n">
        <v>11895.092</v>
      </c>
      <c r="G207" s="38" t="n">
        <v/>
      </c>
      <c r="H207" s="38" t="n">
        <v/>
      </c>
      <c r="I207" s="38" t="n">
        <v>1915.462</v>
      </c>
      <c r="J207" s="38" t="n">
        <v/>
      </c>
      <c r="K207" s="38" t="n">
        <v/>
      </c>
      <c r="L207" s="38" t="n">
        <v/>
      </c>
      <c r="M207" s="38" t="n">
        <v/>
      </c>
      <c r="N207" s="38" t="n">
        <v>-0.096</v>
      </c>
      <c r="O207" s="38" t="n">
        <v>-236.436</v>
      </c>
      <c r="P207" s="38" t="n">
        <v/>
      </c>
      <c r="Q207" s="38" t="n">
        <v>-867.644</v>
      </c>
      <c r="R207" s="38" t="n">
        <v>182670.915</v>
      </c>
      <c r="S207" s="38" t="n">
        <v>146468.661</v>
      </c>
      <c r="T207" s="38" t="n">
        <v>36202.254</v>
      </c>
      <c r="U207" s="38" t="n">
        <v>-5398.218</v>
      </c>
      <c r="V207" s="38" t="n">
        <v>-5398.218</v>
      </c>
      <c r="W207" s="38" t="n">
        <v>0</v>
      </c>
    </row>
    <row r="208">
      <c r="A208" s="35" t="inlineStr">
        <is>
          <t>2011-12</t>
        </is>
      </c>
      <c r="B208" s="35" t="n">
        <v>2011</v>
      </c>
      <c r="C208" s="35" t="n">
        <v>12</v>
      </c>
      <c r="D208" s="36" t="n">
        <v>-17945.76</v>
      </c>
      <c r="E208" s="36" t="n">
        <v>303.625</v>
      </c>
      <c r="F208" s="36" t="n">
        <v>44910.037</v>
      </c>
      <c r="G208" s="36" t="n">
        <v/>
      </c>
      <c r="H208" s="36" t="n">
        <v/>
      </c>
      <c r="I208" s="36" t="n">
        <v>4361.607</v>
      </c>
      <c r="J208" s="36" t="n">
        <v/>
      </c>
      <c r="K208" s="36" t="n">
        <v/>
      </c>
      <c r="L208" s="36" t="n">
        <v/>
      </c>
      <c r="M208" s="36" t="n">
        <v/>
      </c>
      <c r="N208" s="36" t="n">
        <v>-0.001</v>
      </c>
      <c r="O208" s="36" t="n">
        <v>-31.85</v>
      </c>
      <c r="P208" s="36" t="n">
        <v/>
      </c>
      <c r="Q208" s="36" t="n">
        <v>-33.262</v>
      </c>
      <c r="R208" s="36" t="n">
        <v>214235.311</v>
      </c>
      <c r="S208" s="36" t="n">
        <v>162769.67</v>
      </c>
      <c r="T208" s="36" t="n">
        <v>51465.641</v>
      </c>
      <c r="U208" s="36" t="n">
        <v>31564.396</v>
      </c>
      <c r="V208" s="36" t="n">
        <v>31564.396</v>
      </c>
      <c r="W208" s="36" t="n">
        <v>0</v>
      </c>
    </row>
    <row r="209">
      <c r="A209" s="37" t="inlineStr">
        <is>
          <t>2012-01</t>
        </is>
      </c>
      <c r="B209" s="37" t="n">
        <v>2012</v>
      </c>
      <c r="C209" s="37" t="n">
        <v>1</v>
      </c>
      <c r="D209" s="38" t="n">
        <v>6232.092</v>
      </c>
      <c r="E209" s="38" t="n">
        <v>193.212</v>
      </c>
      <c r="F209" s="38" t="n">
        <v>-22619.99</v>
      </c>
      <c r="G209" s="38" t="n">
        <v/>
      </c>
      <c r="H209" s="38" t="n">
        <v/>
      </c>
      <c r="I209" s="38" t="n">
        <v>15224.392</v>
      </c>
      <c r="J209" s="38" t="n">
        <v/>
      </c>
      <c r="K209" s="38" t="n">
        <v/>
      </c>
      <c r="L209" s="38" t="n">
        <v/>
      </c>
      <c r="M209" s="38" t="n">
        <v/>
      </c>
      <c r="N209" s="38" t="n">
        <v>0</v>
      </c>
      <c r="O209" s="38" t="n">
        <v>184.584</v>
      </c>
      <c r="P209" s="38" t="n">
        <v/>
      </c>
      <c r="Q209" s="38" t="n">
        <v>-1313.36</v>
      </c>
      <c r="R209" s="38" t="n">
        <v>212136.241</v>
      </c>
      <c r="S209" s="38" t="n">
        <v>149195.222</v>
      </c>
      <c r="T209" s="38" t="n">
        <v>62941.019</v>
      </c>
      <c r="U209" s="38" t="n">
        <v>-2099.07</v>
      </c>
      <c r="V209" s="38" t="n">
        <v>-2099.07</v>
      </c>
      <c r="W209" s="38" t="n">
        <v>0</v>
      </c>
    </row>
    <row r="210">
      <c r="A210" s="35" t="inlineStr">
        <is>
          <t>2012-02</t>
        </is>
      </c>
      <c r="B210" s="35" t="n">
        <v>2012</v>
      </c>
      <c r="C210" s="35" t="n">
        <v>2</v>
      </c>
      <c r="D210" s="36" t="n">
        <v>-23612.664</v>
      </c>
      <c r="E210" s="36" t="n">
        <v>1576.123</v>
      </c>
      <c r="F210" s="36" t="n">
        <v>-16424.996</v>
      </c>
      <c r="G210" s="36" t="n">
        <v/>
      </c>
      <c r="H210" s="36" t="n">
        <v/>
      </c>
      <c r="I210" s="36" t="n">
        <v>17212.825</v>
      </c>
      <c r="J210" s="36" t="n">
        <v/>
      </c>
      <c r="K210" s="36" t="n">
        <v/>
      </c>
      <c r="L210" s="36" t="n">
        <v/>
      </c>
      <c r="M210" s="36" t="n">
        <v/>
      </c>
      <c r="N210" s="36" t="n">
        <v>0</v>
      </c>
      <c r="O210" s="36" t="n">
        <v>83.89400000000001</v>
      </c>
      <c r="P210" s="36" t="n">
        <v/>
      </c>
      <c r="Q210" s="36" t="n">
        <v>517.346</v>
      </c>
      <c r="R210" s="36" t="n">
        <v>191488.769</v>
      </c>
      <c r="S210" s="36" t="n">
        <v>147869.699</v>
      </c>
      <c r="T210" s="36" t="n">
        <v>43619.07</v>
      </c>
      <c r="U210" s="36" t="n">
        <v>-20647.472</v>
      </c>
      <c r="V210" s="36" t="n">
        <v>-20647.472</v>
      </c>
      <c r="W210" s="36" t="n">
        <v>0</v>
      </c>
    </row>
    <row r="211">
      <c r="A211" s="37" t="inlineStr">
        <is>
          <t>2012-03</t>
        </is>
      </c>
      <c r="B211" s="37" t="n">
        <v>2012</v>
      </c>
      <c r="C211" s="37" t="n">
        <v>3</v>
      </c>
      <c r="D211" s="38" t="n">
        <v>-9070.549000000001</v>
      </c>
      <c r="E211" s="38" t="n">
        <v>17718.585</v>
      </c>
      <c r="F211" s="38" t="n">
        <v>-14681.172</v>
      </c>
      <c r="G211" s="38" t="n">
        <v/>
      </c>
      <c r="H211" s="38" t="n">
        <v/>
      </c>
      <c r="I211" s="38" t="n">
        <v>18049.256</v>
      </c>
      <c r="J211" s="38" t="n">
        <v/>
      </c>
      <c r="K211" s="38" t="n">
        <v/>
      </c>
      <c r="L211" s="38" t="n">
        <v/>
      </c>
      <c r="M211" s="38" t="n">
        <v/>
      </c>
      <c r="N211" s="38" t="n">
        <v>0</v>
      </c>
      <c r="O211" s="38" t="n">
        <v>-343.849</v>
      </c>
      <c r="P211" s="38" t="n">
        <v/>
      </c>
      <c r="Q211" s="38" t="n">
        <v>-1204.914</v>
      </c>
      <c r="R211" s="38" t="n">
        <v>201956.126</v>
      </c>
      <c r="S211" s="38" t="n">
        <v>145223.965</v>
      </c>
      <c r="T211" s="38" t="n">
        <v>56732.161</v>
      </c>
      <c r="U211" s="38" t="n">
        <v>10467.357</v>
      </c>
      <c r="V211" s="38" t="n">
        <v>10467.357</v>
      </c>
      <c r="W211" s="38" t="n">
        <v>0</v>
      </c>
    </row>
    <row r="212">
      <c r="A212" s="35" t="inlineStr">
        <is>
          <t>2012-04</t>
        </is>
      </c>
      <c r="B212" s="35" t="n">
        <v>2012</v>
      </c>
      <c r="C212" s="35" t="n">
        <v>4</v>
      </c>
      <c r="D212" s="36" t="n">
        <v>-10290.613</v>
      </c>
      <c r="E212" s="36" t="n">
        <v>13466.527</v>
      </c>
      <c r="F212" s="36" t="n">
        <v>-16141.57</v>
      </c>
      <c r="G212" s="36" t="n">
        <v/>
      </c>
      <c r="H212" s="36" t="n">
        <v/>
      </c>
      <c r="I212" s="36" t="n">
        <v>4768.499</v>
      </c>
      <c r="J212" s="36" t="n">
        <v/>
      </c>
      <c r="K212" s="36" t="n">
        <v/>
      </c>
      <c r="L212" s="36" t="n">
        <v/>
      </c>
      <c r="M212" s="36" t="n">
        <v/>
      </c>
      <c r="N212" s="36" t="n">
        <v>-0.348</v>
      </c>
      <c r="O212" s="36" t="n">
        <v>-131.806</v>
      </c>
      <c r="P212" s="36" t="n">
        <v/>
      </c>
      <c r="Q212" s="36" t="n">
        <v>-442.881</v>
      </c>
      <c r="R212" s="36" t="n">
        <v>193183.934</v>
      </c>
      <c r="S212" s="36" t="n">
        <v>148228.803</v>
      </c>
      <c r="T212" s="36" t="n">
        <v>44955.131</v>
      </c>
      <c r="U212" s="36" t="n">
        <v>-8772.191999999999</v>
      </c>
      <c r="V212" s="36" t="n">
        <v>-8772.191999999999</v>
      </c>
      <c r="W212" s="36" t="n">
        <v>0</v>
      </c>
    </row>
    <row r="213">
      <c r="A213" s="37" t="inlineStr">
        <is>
          <t>2012-05</t>
        </is>
      </c>
      <c r="B213" s="37" t="n">
        <v>2012</v>
      </c>
      <c r="C213" s="37" t="n">
        <v>5</v>
      </c>
      <c r="D213" s="38" t="n">
        <v>-14994.295</v>
      </c>
      <c r="E213" s="38" t="n">
        <v>2224.227</v>
      </c>
      <c r="F213" s="38" t="n">
        <v>13737.771</v>
      </c>
      <c r="G213" s="38" t="n">
        <v/>
      </c>
      <c r="H213" s="38" t="n">
        <v/>
      </c>
      <c r="I213" s="38" t="n">
        <v>178.841</v>
      </c>
      <c r="J213" s="38" t="n">
        <v/>
      </c>
      <c r="K213" s="38" t="n">
        <v/>
      </c>
      <c r="L213" s="38" t="n">
        <v/>
      </c>
      <c r="M213" s="38" t="n">
        <v/>
      </c>
      <c r="N213" s="38" t="n">
        <v>-0.007</v>
      </c>
      <c r="O213" s="38" t="n">
        <v>-525.909</v>
      </c>
      <c r="P213" s="38" t="n">
        <v/>
      </c>
      <c r="Q213" s="38" t="n">
        <v>-2141.509</v>
      </c>
      <c r="R213" s="38" t="n">
        <v>191663.053</v>
      </c>
      <c r="S213" s="38" t="n">
        <v>147811.284</v>
      </c>
      <c r="T213" s="38" t="n">
        <v>43851.769</v>
      </c>
      <c r="U213" s="38" t="n">
        <v>-1520.881</v>
      </c>
      <c r="V213" s="38" t="n">
        <v>-1520.881</v>
      </c>
      <c r="W213" s="38" t="n">
        <v>0</v>
      </c>
    </row>
    <row r="214">
      <c r="A214" s="35" t="inlineStr">
        <is>
          <t>2012-06</t>
        </is>
      </c>
      <c r="B214" s="35" t="n">
        <v>2012</v>
      </c>
      <c r="C214" s="35" t="n">
        <v>6</v>
      </c>
      <c r="D214" s="36" t="n">
        <v>-4225.659</v>
      </c>
      <c r="E214" s="36" t="n">
        <v>421.921</v>
      </c>
      <c r="F214" s="36" t="n">
        <v>12447.356</v>
      </c>
      <c r="G214" s="36" t="n">
        <v/>
      </c>
      <c r="H214" s="36" t="n">
        <v/>
      </c>
      <c r="I214" s="36" t="n">
        <v>4096.468</v>
      </c>
      <c r="J214" s="36" t="n">
        <v/>
      </c>
      <c r="K214" s="36" t="n">
        <v/>
      </c>
      <c r="L214" s="36" t="n">
        <v/>
      </c>
      <c r="M214" s="36" t="n">
        <v/>
      </c>
      <c r="N214" s="36" t="n">
        <v>-0.247</v>
      </c>
      <c r="O214" s="36" t="n">
        <v>253.272</v>
      </c>
      <c r="P214" s="36" t="n">
        <v/>
      </c>
      <c r="Q214" s="36" t="n">
        <v>-5797.701</v>
      </c>
      <c r="R214" s="36" t="n">
        <v>198858.463</v>
      </c>
      <c r="S214" s="36" t="n">
        <v>151219.217</v>
      </c>
      <c r="T214" s="36" t="n">
        <v>47639.246</v>
      </c>
      <c r="U214" s="36" t="n">
        <v>7195.41</v>
      </c>
      <c r="V214" s="36" t="n">
        <v>7195.41</v>
      </c>
      <c r="W214" s="36" t="n">
        <v>0</v>
      </c>
    </row>
    <row r="215">
      <c r="A215" s="37" t="inlineStr">
        <is>
          <t>2012-07</t>
        </is>
      </c>
      <c r="B215" s="37" t="n">
        <v>2012</v>
      </c>
      <c r="C215" s="37" t="n">
        <v>7</v>
      </c>
      <c r="D215" s="38" t="n">
        <v>-3624.148</v>
      </c>
      <c r="E215" s="38" t="n">
        <v>214.748</v>
      </c>
      <c r="F215" s="38" t="n">
        <v>-5773.014</v>
      </c>
      <c r="G215" s="38" t="n">
        <v/>
      </c>
      <c r="H215" s="38" t="n">
        <v/>
      </c>
      <c r="I215" s="38" t="n">
        <v>15948.103</v>
      </c>
      <c r="J215" s="38" t="n">
        <v/>
      </c>
      <c r="K215" s="38" t="n">
        <v/>
      </c>
      <c r="L215" s="38" t="n">
        <v/>
      </c>
      <c r="M215" s="38" t="n">
        <v/>
      </c>
      <c r="N215" s="38" t="n">
        <v>0</v>
      </c>
      <c r="O215" s="38" t="n">
        <v>-281.036</v>
      </c>
      <c r="P215" s="38" t="n">
        <v/>
      </c>
      <c r="Q215" s="38" t="n">
        <v>-1715.566</v>
      </c>
      <c r="R215" s="38" t="n">
        <v>203627.55</v>
      </c>
      <c r="S215" s="38" t="n">
        <v>154222.044</v>
      </c>
      <c r="T215" s="38" t="n">
        <v>49405.506</v>
      </c>
      <c r="U215" s="38" t="n">
        <v>4769.087</v>
      </c>
      <c r="V215" s="38" t="n">
        <v>4769.087</v>
      </c>
      <c r="W215" s="38" t="n">
        <v>0</v>
      </c>
    </row>
    <row r="216">
      <c r="A216" s="35" t="inlineStr">
        <is>
          <t>2012-08</t>
        </is>
      </c>
      <c r="B216" s="35" t="n">
        <v>2012</v>
      </c>
      <c r="C216" s="35" t="n">
        <v>8</v>
      </c>
      <c r="D216" s="36" t="n">
        <v>-9905.209000000001</v>
      </c>
      <c r="E216" s="36" t="n">
        <v>273.518</v>
      </c>
      <c r="F216" s="36" t="n">
        <v>8966.306</v>
      </c>
      <c r="G216" s="36" t="n">
        <v/>
      </c>
      <c r="H216" s="36" t="n">
        <v/>
      </c>
      <c r="I216" s="36" t="n">
        <v>1210.849</v>
      </c>
      <c r="J216" s="36" t="n">
        <v/>
      </c>
      <c r="K216" s="36" t="n">
        <v/>
      </c>
      <c r="L216" s="36" t="n">
        <v/>
      </c>
      <c r="M216" s="36" t="n">
        <v/>
      </c>
      <c r="N216" s="36" t="n">
        <v>0</v>
      </c>
      <c r="O216" s="36" t="n">
        <v>60.314</v>
      </c>
      <c r="P216" s="36" t="n">
        <v/>
      </c>
      <c r="Q216" s="36" t="n">
        <v>-658.0309999999999</v>
      </c>
      <c r="R216" s="36" t="n">
        <v>203575.297</v>
      </c>
      <c r="S216" s="36" t="n">
        <v>155406.459</v>
      </c>
      <c r="T216" s="36" t="n">
        <v>48168.838</v>
      </c>
      <c r="U216" s="36" t="n">
        <v>-52.253</v>
      </c>
      <c r="V216" s="36" t="n">
        <v>-52.253</v>
      </c>
      <c r="W216" s="36" t="n">
        <v>0</v>
      </c>
    </row>
    <row r="217">
      <c r="A217" s="37" t="inlineStr">
        <is>
          <t>2012-09</t>
        </is>
      </c>
      <c r="B217" s="37" t="n">
        <v>2012</v>
      </c>
      <c r="C217" s="37" t="n">
        <v>9</v>
      </c>
      <c r="D217" s="38" t="n">
        <v>-1015.949</v>
      </c>
      <c r="E217" s="38" t="n">
        <v>179.509</v>
      </c>
      <c r="F217" s="38" t="n">
        <v>-12864.727</v>
      </c>
      <c r="G217" s="38" t="n">
        <v/>
      </c>
      <c r="H217" s="38" t="n">
        <v/>
      </c>
      <c r="I217" s="38" t="n">
        <v>13015.297</v>
      </c>
      <c r="J217" s="38" t="n">
        <v/>
      </c>
      <c r="K217" s="38" t="n">
        <v/>
      </c>
      <c r="L217" s="38" t="n">
        <v/>
      </c>
      <c r="M217" s="38" t="n">
        <v/>
      </c>
      <c r="N217" s="38" t="n">
        <v>53.37</v>
      </c>
      <c r="O217" s="38" t="n">
        <v>-105.23</v>
      </c>
      <c r="P217" s="38" t="n">
        <v/>
      </c>
      <c r="Q217" s="38" t="n">
        <v>-637.562</v>
      </c>
      <c r="R217" s="38" t="n">
        <v>202200.005</v>
      </c>
      <c r="S217" s="38" t="n">
        <v>160602.7</v>
      </c>
      <c r="T217" s="38" t="n">
        <v>41597.305</v>
      </c>
      <c r="U217" s="38" t="n">
        <v>-1375.292</v>
      </c>
      <c r="V217" s="38" t="n">
        <v>-1375.292</v>
      </c>
      <c r="W217" s="38" t="n">
        <v>0</v>
      </c>
    </row>
    <row r="218">
      <c r="A218" s="35" t="inlineStr">
        <is>
          <t>2012-10</t>
        </is>
      </c>
      <c r="B218" s="35" t="n">
        <v>2012</v>
      </c>
      <c r="C218" s="35" t="n">
        <v>10</v>
      </c>
      <c r="D218" s="36" t="n">
        <v>-6109.155</v>
      </c>
      <c r="E218" s="36" t="n">
        <v>291.101</v>
      </c>
      <c r="F218" s="36" t="n">
        <v>-6640.842</v>
      </c>
      <c r="G218" s="36" t="n">
        <v/>
      </c>
      <c r="H218" s="36" t="n">
        <v/>
      </c>
      <c r="I218" s="36" t="n">
        <v>16078.677</v>
      </c>
      <c r="J218" s="36" t="n">
        <v/>
      </c>
      <c r="K218" s="36" t="n">
        <v/>
      </c>
      <c r="L218" s="36" t="n">
        <v/>
      </c>
      <c r="M218" s="36" t="n">
        <v/>
      </c>
      <c r="N218" s="36" t="n">
        <v>-1.401</v>
      </c>
      <c r="O218" s="36" t="n">
        <v>43.608</v>
      </c>
      <c r="P218" s="36" t="n">
        <v/>
      </c>
      <c r="Q218" s="36" t="n">
        <v>-1105.033</v>
      </c>
      <c r="R218" s="36" t="n">
        <v>204756.96</v>
      </c>
      <c r="S218" s="36" t="n">
        <v>160564.565</v>
      </c>
      <c r="T218" s="36" t="n">
        <v>44192.395</v>
      </c>
      <c r="U218" s="36" t="n">
        <v>2556.955</v>
      </c>
      <c r="V218" s="36" t="n">
        <v>2556.955</v>
      </c>
      <c r="W218" s="36" t="n">
        <v>0</v>
      </c>
    </row>
    <row r="219">
      <c r="A219" s="37" t="inlineStr">
        <is>
          <t>2012-11</t>
        </is>
      </c>
      <c r="B219" s="37" t="n">
        <v>2012</v>
      </c>
      <c r="C219" s="37" t="n">
        <v>11</v>
      </c>
      <c r="D219" s="38" t="n">
        <v>-5652.301</v>
      </c>
      <c r="E219" s="38" t="n">
        <v>312.946</v>
      </c>
      <c r="F219" s="38" t="n">
        <v>999.107</v>
      </c>
      <c r="G219" s="38" t="n">
        <v/>
      </c>
      <c r="H219" s="38" t="n">
        <v/>
      </c>
      <c r="I219" s="38" t="n">
        <v>9738.166999999999</v>
      </c>
      <c r="J219" s="38" t="n">
        <v/>
      </c>
      <c r="K219" s="38" t="n">
        <v/>
      </c>
      <c r="L219" s="38" t="n">
        <v/>
      </c>
      <c r="M219" s="38" t="n">
        <v/>
      </c>
      <c r="N219" s="38" t="n">
        <v>0</v>
      </c>
      <c r="O219" s="38" t="n">
        <v>-278.873</v>
      </c>
      <c r="P219" s="38" t="n">
        <v/>
      </c>
      <c r="Q219" s="38" t="n">
        <v>-851.395</v>
      </c>
      <c r="R219" s="38" t="n">
        <v>209024.611</v>
      </c>
      <c r="S219" s="38" t="n">
        <v>164799.194</v>
      </c>
      <c r="T219" s="38" t="n">
        <v>44225.417</v>
      </c>
      <c r="U219" s="38" t="n">
        <v>4267.651</v>
      </c>
      <c r="V219" s="38" t="n">
        <v>4267.651</v>
      </c>
      <c r="W219" s="38" t="n">
        <v>0</v>
      </c>
    </row>
    <row r="220">
      <c r="A220" s="35" t="inlineStr">
        <is>
          <t>2012-12</t>
        </is>
      </c>
      <c r="B220" s="35" t="n">
        <v>2012</v>
      </c>
      <c r="C220" s="35" t="n">
        <v>12</v>
      </c>
      <c r="D220" s="36" t="n">
        <v>-39380.522</v>
      </c>
      <c r="E220" s="36" t="n">
        <v>-10975.444</v>
      </c>
      <c r="F220" s="36" t="n">
        <v>64648.943</v>
      </c>
      <c r="G220" s="36" t="n">
        <v/>
      </c>
      <c r="H220" s="36" t="n">
        <v/>
      </c>
      <c r="I220" s="36" t="n">
        <v>3161.327</v>
      </c>
      <c r="J220" s="36" t="n">
        <v/>
      </c>
      <c r="K220" s="36" t="n">
        <v/>
      </c>
      <c r="L220" s="36" t="n">
        <v/>
      </c>
      <c r="M220" s="36" t="n">
        <v/>
      </c>
      <c r="N220" s="36" t="n">
        <v>-5.424</v>
      </c>
      <c r="O220" s="36" t="n">
        <v>-59.77</v>
      </c>
      <c r="P220" s="36" t="n">
        <v/>
      </c>
      <c r="Q220" s="36" t="n">
        <v>6957.731</v>
      </c>
      <c r="R220" s="36" t="n">
        <v>233371.452</v>
      </c>
      <c r="S220" s="36" t="n">
        <v>187434.736</v>
      </c>
      <c r="T220" s="36" t="n">
        <v>45936.716</v>
      </c>
      <c r="U220" s="36" t="n">
        <v>24346.841</v>
      </c>
      <c r="V220" s="36" t="n">
        <v>24346.841</v>
      </c>
      <c r="W220" s="36" t="n">
        <v>0</v>
      </c>
    </row>
    <row r="221">
      <c r="A221" s="37" t="inlineStr">
        <is>
          <t>2013-01</t>
        </is>
      </c>
      <c r="B221" s="37" t="n">
        <v>2013</v>
      </c>
      <c r="C221" s="37" t="n">
        <v>1</v>
      </c>
      <c r="D221" s="38" t="n">
        <v>5991.367</v>
      </c>
      <c r="E221" s="38" t="n">
        <v>2441.974</v>
      </c>
      <c r="F221" s="38" t="n">
        <v>-21321.116</v>
      </c>
      <c r="G221" s="38" t="n">
        <v/>
      </c>
      <c r="H221" s="38" t="n">
        <v/>
      </c>
      <c r="I221" s="38" t="n">
        <v>-3022.905</v>
      </c>
      <c r="J221" s="38" t="n">
        <v/>
      </c>
      <c r="K221" s="38" t="n">
        <v/>
      </c>
      <c r="L221" s="38" t="n">
        <v/>
      </c>
      <c r="M221" s="38" t="n">
        <v/>
      </c>
      <c r="N221" s="38" t="n">
        <v>-0.426</v>
      </c>
      <c r="O221" s="38" t="n">
        <v>-136.253</v>
      </c>
      <c r="P221" s="38" t="n">
        <v/>
      </c>
      <c r="Q221" s="38" t="n">
        <v>-860.186</v>
      </c>
      <c r="R221" s="38" t="n">
        <v>216463.907</v>
      </c>
      <c r="S221" s="38" t="n">
        <v>167743.523</v>
      </c>
      <c r="T221" s="38" t="n">
        <v>48720.384</v>
      </c>
      <c r="U221" s="38" t="n">
        <v>-16907.545</v>
      </c>
      <c r="V221" s="38" t="n">
        <v>-16907.545</v>
      </c>
      <c r="W221" s="38" t="n">
        <v>0</v>
      </c>
    </row>
    <row r="222">
      <c r="A222" s="35" t="inlineStr">
        <is>
          <t>2013-02</t>
        </is>
      </c>
      <c r="B222" s="35" t="n">
        <v>2013</v>
      </c>
      <c r="C222" s="35" t="n">
        <v>2</v>
      </c>
      <c r="D222" s="36" t="n">
        <v>-19052.063</v>
      </c>
      <c r="E222" s="36" t="n">
        <v>3564.339</v>
      </c>
      <c r="F222" s="36" t="n">
        <v>3762.324</v>
      </c>
      <c r="G222" s="36" t="n">
        <v/>
      </c>
      <c r="H222" s="36" t="n">
        <v/>
      </c>
      <c r="I222" s="36" t="n">
        <v>941.259</v>
      </c>
      <c r="J222" s="36" t="n">
        <v/>
      </c>
      <c r="K222" s="36" t="n">
        <v/>
      </c>
      <c r="L222" s="36" t="n">
        <v/>
      </c>
      <c r="M222" s="36" t="n">
        <v/>
      </c>
      <c r="N222" s="36" t="n">
        <v>195.859</v>
      </c>
      <c r="O222" s="36" t="n">
        <v>-52.675</v>
      </c>
      <c r="P222" s="36" t="n">
        <v/>
      </c>
      <c r="Q222" s="36" t="n">
        <v>-800.357</v>
      </c>
      <c r="R222" s="36" t="n">
        <v>205022.593</v>
      </c>
      <c r="S222" s="36" t="n">
        <v>164991.143</v>
      </c>
      <c r="T222" s="36" t="n">
        <v>40031.45</v>
      </c>
      <c r="U222" s="36" t="n">
        <v>-11441.314</v>
      </c>
      <c r="V222" s="36" t="n">
        <v>-11441.314</v>
      </c>
      <c r="W222" s="36" t="n">
        <v>0</v>
      </c>
    </row>
    <row r="223">
      <c r="A223" s="37" t="inlineStr">
        <is>
          <t>2013-03</t>
        </is>
      </c>
      <c r="B223" s="37" t="n">
        <v>2013</v>
      </c>
      <c r="C223" s="37" t="n">
        <v>3</v>
      </c>
      <c r="D223" s="38" t="n">
        <v>-4777.048</v>
      </c>
      <c r="E223" s="38" t="n">
        <v>6118.006</v>
      </c>
      <c r="F223" s="38" t="n">
        <v>1691.768</v>
      </c>
      <c r="G223" s="38" t="n">
        <v/>
      </c>
      <c r="H223" s="38" t="n">
        <v/>
      </c>
      <c r="I223" s="38" t="n">
        <v>293.351</v>
      </c>
      <c r="J223" s="38" t="n">
        <v/>
      </c>
      <c r="K223" s="38" t="n">
        <v/>
      </c>
      <c r="L223" s="38" t="n">
        <v/>
      </c>
      <c r="M223" s="38" t="n">
        <v/>
      </c>
      <c r="N223" s="38" t="n">
        <v>-195.923</v>
      </c>
      <c r="O223" s="38" t="n">
        <v>-44.548</v>
      </c>
      <c r="P223" s="38" t="n">
        <v/>
      </c>
      <c r="Q223" s="38" t="n">
        <v>-390.713</v>
      </c>
      <c r="R223" s="38" t="n">
        <v>207717.486</v>
      </c>
      <c r="S223" s="38" t="n">
        <v>165953.654</v>
      </c>
      <c r="T223" s="38" t="n">
        <v>41763.832</v>
      </c>
      <c r="U223" s="38" t="n">
        <v>2694.893</v>
      </c>
      <c r="V223" s="38" t="n">
        <v>2694.893</v>
      </c>
      <c r="W223" s="38" t="n">
        <v>0</v>
      </c>
    </row>
    <row r="224">
      <c r="A224" s="35" t="inlineStr">
        <is>
          <t>2013-04</t>
        </is>
      </c>
      <c r="B224" s="35" t="n">
        <v>2013</v>
      </c>
      <c r="C224" s="35" t="n">
        <v>4</v>
      </c>
      <c r="D224" s="36" t="n">
        <v>-1931.761</v>
      </c>
      <c r="E224" s="36" t="n">
        <v>258.222</v>
      </c>
      <c r="F224" s="36" t="n">
        <v>3550.747</v>
      </c>
      <c r="G224" s="36" t="n">
        <v/>
      </c>
      <c r="H224" s="36" t="n">
        <v/>
      </c>
      <c r="I224" s="36" t="n">
        <v>2445.027</v>
      </c>
      <c r="J224" s="36" t="n">
        <v/>
      </c>
      <c r="K224" s="36" t="n">
        <v/>
      </c>
      <c r="L224" s="36" t="n">
        <v/>
      </c>
      <c r="M224" s="36" t="n">
        <v/>
      </c>
      <c r="N224" s="36" t="n">
        <v>800.002</v>
      </c>
      <c r="O224" s="36" t="n">
        <v>-3.053</v>
      </c>
      <c r="P224" s="36" t="n">
        <v/>
      </c>
      <c r="Q224" s="36" t="n">
        <v>-3214.842</v>
      </c>
      <c r="R224" s="36" t="n">
        <v>209621.828</v>
      </c>
      <c r="S224" s="36" t="n">
        <v>163834.777</v>
      </c>
      <c r="T224" s="36" t="n">
        <v>45787.051</v>
      </c>
      <c r="U224" s="36" t="n">
        <v>1904.342</v>
      </c>
      <c r="V224" s="36" t="n">
        <v>1904.342</v>
      </c>
      <c r="W224" s="36" t="n">
        <v>0</v>
      </c>
    </row>
    <row r="225">
      <c r="A225" s="37" t="inlineStr">
        <is>
          <t>2013-05</t>
        </is>
      </c>
      <c r="B225" s="37" t="n">
        <v>2013</v>
      </c>
      <c r="C225" s="37" t="n">
        <v>5</v>
      </c>
      <c r="D225" s="38" t="n">
        <v>-17282.981</v>
      </c>
      <c r="E225" s="38" t="n">
        <v>264.783</v>
      </c>
      <c r="F225" s="38" t="n">
        <v>11878.42</v>
      </c>
      <c r="G225" s="38" t="n">
        <v/>
      </c>
      <c r="H225" s="38" t="n">
        <v/>
      </c>
      <c r="I225" s="38" t="n">
        <v>-854.095</v>
      </c>
      <c r="J225" s="38" t="n">
        <v/>
      </c>
      <c r="K225" s="38" t="n">
        <v/>
      </c>
      <c r="L225" s="38" t="n">
        <v/>
      </c>
      <c r="M225" s="38" t="n">
        <v/>
      </c>
      <c r="N225" s="38" t="n">
        <v>-800.26</v>
      </c>
      <c r="O225" s="38" t="n">
        <v>0</v>
      </c>
      <c r="P225" s="38" t="n">
        <v/>
      </c>
      <c r="Q225" s="38" t="n">
        <v>-1781.364</v>
      </c>
      <c r="R225" s="38" t="n">
        <v>201046.331</v>
      </c>
      <c r="S225" s="38" t="n">
        <v>166448.371</v>
      </c>
      <c r="T225" s="38" t="n">
        <v>34597.96</v>
      </c>
      <c r="U225" s="38" t="n">
        <v>-8575.496999999999</v>
      </c>
      <c r="V225" s="38" t="n">
        <v>-8575.496999999999</v>
      </c>
      <c r="W225" s="38" t="n">
        <v>0</v>
      </c>
    </row>
    <row r="226">
      <c r="A226" s="35" t="inlineStr">
        <is>
          <t>2013-06</t>
        </is>
      </c>
      <c r="B226" s="35" t="n">
        <v>2013</v>
      </c>
      <c r="C226" s="35" t="n">
        <v>6</v>
      </c>
      <c r="D226" s="36" t="n">
        <v>-5757.543</v>
      </c>
      <c r="E226" s="36" t="n">
        <v>-3709.319</v>
      </c>
      <c r="F226" s="36" t="n">
        <v>29186.46</v>
      </c>
      <c r="G226" s="36" t="n">
        <v/>
      </c>
      <c r="H226" s="36" t="n">
        <v/>
      </c>
      <c r="I226" s="36" t="n">
        <v>-5397.435</v>
      </c>
      <c r="J226" s="36" t="n">
        <v/>
      </c>
      <c r="K226" s="36" t="n">
        <v/>
      </c>
      <c r="L226" s="36" t="n">
        <v/>
      </c>
      <c r="M226" s="36" t="n">
        <v/>
      </c>
      <c r="N226" s="36" t="n">
        <v>-0.925</v>
      </c>
      <c r="O226" s="36" t="n">
        <v>33.039</v>
      </c>
      <c r="P226" s="36" t="n">
        <v/>
      </c>
      <c r="Q226" s="36" t="n">
        <v>-836.173</v>
      </c>
      <c r="R226" s="36" t="n">
        <v>214567.507</v>
      </c>
      <c r="S226" s="36" t="n">
        <v>166507.946</v>
      </c>
      <c r="T226" s="36" t="n">
        <v>48059.561</v>
      </c>
      <c r="U226" s="36" t="n">
        <v>13521.176</v>
      </c>
      <c r="V226" s="36" t="n">
        <v>13518.104</v>
      </c>
      <c r="W226" s="36" t="n">
        <v>-3.072</v>
      </c>
    </row>
    <row r="227">
      <c r="A227" s="37" t="inlineStr">
        <is>
          <t>2013-07</t>
        </is>
      </c>
      <c r="B227" s="37" t="n">
        <v>2013</v>
      </c>
      <c r="C227" s="37" t="n">
        <v>7</v>
      </c>
      <c r="D227" s="38" t="n">
        <v>-3324.38</v>
      </c>
      <c r="E227" s="38" t="n">
        <v>210.296</v>
      </c>
      <c r="F227" s="38" t="n">
        <v>3495.406</v>
      </c>
      <c r="G227" s="38" t="n">
        <v/>
      </c>
      <c r="H227" s="38" t="n">
        <v/>
      </c>
      <c r="I227" s="38" t="n">
        <v>-4008.153</v>
      </c>
      <c r="J227" s="38" t="n">
        <v/>
      </c>
      <c r="K227" s="38" t="n">
        <v/>
      </c>
      <c r="L227" s="38" t="n">
        <v/>
      </c>
      <c r="M227" s="38" t="n">
        <v/>
      </c>
      <c r="N227" s="38" t="n">
        <v>0</v>
      </c>
      <c r="O227" s="38" t="n">
        <v>1721.851</v>
      </c>
      <c r="P227" s="38" t="n">
        <v/>
      </c>
      <c r="Q227" s="38" t="n">
        <v>-2191.058</v>
      </c>
      <c r="R227" s="38" t="n">
        <v>210471.469</v>
      </c>
      <c r="S227" s="38" t="n">
        <v>169009.081</v>
      </c>
      <c r="T227" s="38" t="n">
        <v>41462.388</v>
      </c>
      <c r="U227" s="38" t="n">
        <v>-4096.038</v>
      </c>
      <c r="V227" s="38" t="n">
        <v>-4096.038</v>
      </c>
      <c r="W227" s="38" t="n">
        <v>0</v>
      </c>
    </row>
    <row r="228">
      <c r="A228" s="35" t="inlineStr">
        <is>
          <t>2013-08</t>
        </is>
      </c>
      <c r="B228" s="35" t="n">
        <v>2013</v>
      </c>
      <c r="C228" s="35" t="n">
        <v>8</v>
      </c>
      <c r="D228" s="36" t="n">
        <v>-11830.419</v>
      </c>
      <c r="E228" s="36" t="n">
        <v>-8371.030000000001</v>
      </c>
      <c r="F228" s="36" t="n">
        <v>19767.688</v>
      </c>
      <c r="G228" s="36" t="n">
        <v/>
      </c>
      <c r="H228" s="36" t="n">
        <v/>
      </c>
      <c r="I228" s="36" t="n">
        <v>-2653.032</v>
      </c>
      <c r="J228" s="36" t="n">
        <v/>
      </c>
      <c r="K228" s="36" t="n">
        <v/>
      </c>
      <c r="L228" s="36" t="n">
        <v/>
      </c>
      <c r="M228" s="36" t="n">
        <v/>
      </c>
      <c r="N228" s="36" t="n">
        <v>0</v>
      </c>
      <c r="O228" s="36" t="n">
        <v>2379.007</v>
      </c>
      <c r="P228" s="36" t="n">
        <v/>
      </c>
      <c r="Q228" s="36" t="n">
        <v>-155.564</v>
      </c>
      <c r="R228" s="36" t="n">
        <v>209608.119</v>
      </c>
      <c r="S228" s="36" t="n">
        <v>170808.722</v>
      </c>
      <c r="T228" s="36" t="n">
        <v>38799.397</v>
      </c>
      <c r="U228" s="36" t="n">
        <v>-863.35</v>
      </c>
      <c r="V228" s="36" t="n">
        <v>-863.35</v>
      </c>
      <c r="W228" s="36" t="n">
        <v>0</v>
      </c>
    </row>
    <row r="229">
      <c r="A229" s="37" t="inlineStr">
        <is>
          <t>2013-09</t>
        </is>
      </c>
      <c r="B229" s="37" t="n">
        <v>2013</v>
      </c>
      <c r="C229" s="37" t="n">
        <v>9</v>
      </c>
      <c r="D229" s="38" t="n">
        <v>4222.354</v>
      </c>
      <c r="E229" s="38" t="n">
        <v>-3240.173</v>
      </c>
      <c r="F229" s="38" t="n">
        <v>24171.504</v>
      </c>
      <c r="G229" s="38" t="n">
        <v/>
      </c>
      <c r="H229" s="38" t="n">
        <v/>
      </c>
      <c r="I229" s="38" t="n">
        <v>3622.489</v>
      </c>
      <c r="J229" s="38" t="n">
        <v/>
      </c>
      <c r="K229" s="38" t="n">
        <v/>
      </c>
      <c r="L229" s="38" t="n">
        <v/>
      </c>
      <c r="M229" s="38" t="n">
        <v/>
      </c>
      <c r="N229" s="38" t="n">
        <v>0</v>
      </c>
      <c r="O229" s="38" t="n">
        <v>-5941.197</v>
      </c>
      <c r="P229" s="38" t="n">
        <v/>
      </c>
      <c r="Q229" s="38" t="n">
        <v>-2868.253</v>
      </c>
      <c r="R229" s="38" t="n">
        <v>229574.843</v>
      </c>
      <c r="S229" s="38" t="n">
        <v>175857.887</v>
      </c>
      <c r="T229" s="38" t="n">
        <v>53716.956</v>
      </c>
      <c r="U229" s="38" t="n">
        <v>19966.724</v>
      </c>
      <c r="V229" s="38" t="n">
        <v>19966.724</v>
      </c>
      <c r="W229" s="38" t="n">
        <v>0</v>
      </c>
    </row>
    <row r="230">
      <c r="A230" s="35" t="inlineStr">
        <is>
          <t>2013-10</t>
        </is>
      </c>
      <c r="B230" s="35" t="n">
        <v>2013</v>
      </c>
      <c r="C230" s="35" t="n">
        <v>10</v>
      </c>
      <c r="D230" s="36" t="n">
        <v>2275.655</v>
      </c>
      <c r="E230" s="36" t="n">
        <v>-10358.192</v>
      </c>
      <c r="F230" s="36" t="n">
        <v>-3545.904</v>
      </c>
      <c r="G230" s="36" t="n">
        <v/>
      </c>
      <c r="H230" s="36" t="n">
        <v/>
      </c>
      <c r="I230" s="36" t="n">
        <v>-72.41</v>
      </c>
      <c r="J230" s="36" t="n">
        <v/>
      </c>
      <c r="K230" s="36" t="n">
        <v/>
      </c>
      <c r="L230" s="36" t="n">
        <v/>
      </c>
      <c r="M230" s="36" t="n">
        <v/>
      </c>
      <c r="N230" s="36" t="n">
        <v>0</v>
      </c>
      <c r="O230" s="36" t="n">
        <v>-4676.61</v>
      </c>
      <c r="P230" s="36" t="n">
        <v/>
      </c>
      <c r="Q230" s="36" t="n">
        <v>-2062.3</v>
      </c>
      <c r="R230" s="36" t="n">
        <v>211135.082</v>
      </c>
      <c r="S230" s="36" t="n">
        <v>175365.95</v>
      </c>
      <c r="T230" s="36" t="n">
        <v>35769.132</v>
      </c>
      <c r="U230" s="36" t="n">
        <v>-18439.761</v>
      </c>
      <c r="V230" s="36" t="n">
        <v>-18439.761</v>
      </c>
      <c r="W230" s="36" t="n">
        <v>0</v>
      </c>
    </row>
    <row r="231">
      <c r="A231" s="37" t="inlineStr">
        <is>
          <t>2013-11</t>
        </is>
      </c>
      <c r="B231" s="37" t="n">
        <v>2013</v>
      </c>
      <c r="C231" s="37" t="n">
        <v>11</v>
      </c>
      <c r="D231" s="38" t="n">
        <v>-32989.007</v>
      </c>
      <c r="E231" s="38" t="n">
        <v>-2633.998</v>
      </c>
      <c r="F231" s="38" t="n">
        <v>36034.516</v>
      </c>
      <c r="G231" s="38" t="n">
        <v/>
      </c>
      <c r="H231" s="38" t="n">
        <v/>
      </c>
      <c r="I231" s="38" t="n">
        <v>-4085.483</v>
      </c>
      <c r="J231" s="38" t="n">
        <v/>
      </c>
      <c r="K231" s="38" t="n">
        <v/>
      </c>
      <c r="L231" s="38" t="n">
        <v/>
      </c>
      <c r="M231" s="38" t="n">
        <v/>
      </c>
      <c r="N231" s="38" t="n">
        <v>0</v>
      </c>
      <c r="O231" s="38" t="n">
        <v>7986.41</v>
      </c>
      <c r="P231" s="38" t="n">
        <v/>
      </c>
      <c r="Q231" s="38" t="n">
        <v>99.283</v>
      </c>
      <c r="R231" s="38" t="n">
        <v>215546.803</v>
      </c>
      <c r="S231" s="38" t="n">
        <v>182559.219</v>
      </c>
      <c r="T231" s="38" t="n">
        <v>32987.584</v>
      </c>
      <c r="U231" s="38" t="n">
        <v>4411.721</v>
      </c>
      <c r="V231" s="38" t="n">
        <v>4411.721</v>
      </c>
      <c r="W231" s="38" t="n">
        <v>0</v>
      </c>
    </row>
    <row r="232">
      <c r="A232" s="35" t="inlineStr">
        <is>
          <t>2013-12</t>
        </is>
      </c>
      <c r="B232" s="35" t="n">
        <v>2013</v>
      </c>
      <c r="C232" s="35" t="n">
        <v>12</v>
      </c>
      <c r="D232" s="36" t="n">
        <v>-43098.963</v>
      </c>
      <c r="E232" s="36" t="n">
        <v>-6973.532</v>
      </c>
      <c r="F232" s="36" t="n">
        <v>88570.25199999999</v>
      </c>
      <c r="G232" s="36" t="n">
        <v/>
      </c>
      <c r="H232" s="36" t="n">
        <v/>
      </c>
      <c r="I232" s="36" t="n">
        <v>-7111.959</v>
      </c>
      <c r="J232" s="36" t="n">
        <v/>
      </c>
      <c r="K232" s="36" t="n">
        <v/>
      </c>
      <c r="L232" s="36" t="n">
        <v/>
      </c>
      <c r="M232" s="36" t="n">
        <v/>
      </c>
      <c r="N232" s="36" t="n">
        <v>-0.002</v>
      </c>
      <c r="O232" s="36" t="n">
        <v>48.593</v>
      </c>
      <c r="P232" s="36" t="n">
        <v/>
      </c>
      <c r="Q232" s="36" t="n">
        <v>2528.586</v>
      </c>
      <c r="R232" s="36" t="n">
        <v>249509.778</v>
      </c>
      <c r="S232" s="36" t="n">
        <v>204052.42</v>
      </c>
      <c r="T232" s="36" t="n">
        <v>45457.358</v>
      </c>
      <c r="U232" s="36" t="n">
        <v>33962.975</v>
      </c>
      <c r="V232" s="36" t="n">
        <v>33962.975</v>
      </c>
      <c r="W232" s="36" t="n">
        <v>0</v>
      </c>
    </row>
    <row r="233">
      <c r="A233" s="37" t="inlineStr">
        <is>
          <t>2014-01</t>
        </is>
      </c>
      <c r="B233" s="37" t="n">
        <v>2014</v>
      </c>
      <c r="C233" s="37" t="n">
        <v>1</v>
      </c>
      <c r="D233" s="38" t="n">
        <v>22751.616</v>
      </c>
      <c r="E233" s="38" t="n">
        <v>6172.413</v>
      </c>
      <c r="F233" s="38" t="n">
        <v>-50950.915</v>
      </c>
      <c r="G233" s="38" t="n">
        <v/>
      </c>
      <c r="H233" s="38" t="n">
        <v/>
      </c>
      <c r="I233" s="38" t="n">
        <v>-8863.227000000001</v>
      </c>
      <c r="J233" s="38" t="n">
        <v/>
      </c>
      <c r="K233" s="38" t="n">
        <v/>
      </c>
      <c r="L233" s="38" t="n">
        <v/>
      </c>
      <c r="M233" s="38" t="n">
        <v/>
      </c>
      <c r="N233" s="38" t="n">
        <v>0</v>
      </c>
      <c r="O233" s="38" t="n">
        <v>3920.326</v>
      </c>
      <c r="P233" s="38" t="n">
        <v/>
      </c>
      <c r="Q233" s="38" t="n">
        <v>407.128</v>
      </c>
      <c r="R233" s="38" t="n">
        <v>222947.119</v>
      </c>
      <c r="S233" s="38" t="n">
        <v>184028.431</v>
      </c>
      <c r="T233" s="38" t="n">
        <v>38918.688</v>
      </c>
      <c r="U233" s="38" t="n">
        <v>-26562.659</v>
      </c>
      <c r="V233" s="38" t="n">
        <v>-26562.659</v>
      </c>
      <c r="W233" s="38" t="n">
        <v>0</v>
      </c>
    </row>
    <row r="234">
      <c r="A234" s="35" t="inlineStr">
        <is>
          <t>2014-02</t>
        </is>
      </c>
      <c r="B234" s="35" t="n">
        <v>2014</v>
      </c>
      <c r="C234" s="35" t="n">
        <v>2</v>
      </c>
      <c r="D234" s="36" t="n">
        <v>-18764.104</v>
      </c>
      <c r="E234" s="36" t="n">
        <v>58.645</v>
      </c>
      <c r="F234" s="36" t="n">
        <v>30808.366</v>
      </c>
      <c r="G234" s="36" t="n">
        <v/>
      </c>
      <c r="H234" s="36" t="n">
        <v/>
      </c>
      <c r="I234" s="36" t="n">
        <v>-2847.035</v>
      </c>
      <c r="J234" s="36" t="n">
        <v/>
      </c>
      <c r="K234" s="36" t="n">
        <v/>
      </c>
      <c r="L234" s="36" t="n">
        <v/>
      </c>
      <c r="M234" s="36" t="n">
        <v/>
      </c>
      <c r="N234" s="36" t="n">
        <v>0</v>
      </c>
      <c r="O234" s="36" t="n">
        <v>-8335.709000000001</v>
      </c>
      <c r="P234" s="36" t="n">
        <v/>
      </c>
      <c r="Q234" s="36" t="n">
        <v>803.852</v>
      </c>
      <c r="R234" s="36" t="n">
        <v>224671.134</v>
      </c>
      <c r="S234" s="36" t="n">
        <v>189754.314</v>
      </c>
      <c r="T234" s="36" t="n">
        <v>34916.82</v>
      </c>
      <c r="U234" s="36" t="n">
        <v>1724.015</v>
      </c>
      <c r="V234" s="36" t="n">
        <v>1724.015</v>
      </c>
      <c r="W234" s="36" t="n">
        <v>0</v>
      </c>
    </row>
    <row r="235">
      <c r="A235" s="37" t="inlineStr">
        <is>
          <t>2014-03</t>
        </is>
      </c>
      <c r="B235" s="37" t="n">
        <v>2014</v>
      </c>
      <c r="C235" s="37" t="n">
        <v>3</v>
      </c>
      <c r="D235" s="38" t="n">
        <v>2859.377</v>
      </c>
      <c r="E235" s="38" t="n">
        <v>3089.869</v>
      </c>
      <c r="F235" s="38" t="n">
        <v>4822.689</v>
      </c>
      <c r="G235" s="38" t="n">
        <v/>
      </c>
      <c r="H235" s="38" t="n">
        <v/>
      </c>
      <c r="I235" s="38" t="n">
        <v>-1477.879</v>
      </c>
      <c r="J235" s="38" t="n">
        <v/>
      </c>
      <c r="K235" s="38" t="n">
        <v/>
      </c>
      <c r="L235" s="38" t="n">
        <v/>
      </c>
      <c r="M235" s="38" t="n">
        <v/>
      </c>
      <c r="N235" s="38" t="n">
        <v>-0.001</v>
      </c>
      <c r="O235" s="38" t="n">
        <v>-6205.747</v>
      </c>
      <c r="P235" s="38" t="n">
        <v/>
      </c>
      <c r="Q235" s="38" t="n">
        <v>254.605</v>
      </c>
      <c r="R235" s="38" t="n">
        <v>228014.047</v>
      </c>
      <c r="S235" s="38" t="n">
        <v>181861.508</v>
      </c>
      <c r="T235" s="38" t="n">
        <v>46152.539</v>
      </c>
      <c r="U235" s="38" t="n">
        <v>3342.913</v>
      </c>
      <c r="V235" s="38" t="n">
        <v>3342.913</v>
      </c>
      <c r="W235" s="38" t="n">
        <v>0</v>
      </c>
    </row>
    <row r="236">
      <c r="A236" s="35" t="inlineStr">
        <is>
          <t>2014-04</t>
        </is>
      </c>
      <c r="B236" s="35" t="n">
        <v>2014</v>
      </c>
      <c r="C236" s="35" t="n">
        <v>4</v>
      </c>
      <c r="D236" s="36" t="n">
        <v>-10256.812</v>
      </c>
      <c r="E236" s="36" t="n">
        <v>4622.781</v>
      </c>
      <c r="F236" s="36" t="n">
        <v>253.545</v>
      </c>
      <c r="G236" s="36" t="n">
        <v/>
      </c>
      <c r="H236" s="36" t="n">
        <v/>
      </c>
      <c r="I236" s="36" t="n">
        <v>3285.344</v>
      </c>
      <c r="J236" s="36" t="n">
        <v/>
      </c>
      <c r="K236" s="36" t="n">
        <v/>
      </c>
      <c r="L236" s="36" t="n">
        <v/>
      </c>
      <c r="M236" s="36" t="n">
        <v/>
      </c>
      <c r="N236" s="36" t="n">
        <v>-0.006</v>
      </c>
      <c r="O236" s="36" t="n">
        <v>-3964.205</v>
      </c>
      <c r="P236" s="36" t="n">
        <v/>
      </c>
      <c r="Q236" s="36" t="n">
        <v>508.297</v>
      </c>
      <c r="R236" s="36" t="n">
        <v>222462.991</v>
      </c>
      <c r="S236" s="36" t="n">
        <v>182000.614</v>
      </c>
      <c r="T236" s="36" t="n">
        <v>40462.377</v>
      </c>
      <c r="U236" s="36" t="n">
        <v>-5551.056</v>
      </c>
      <c r="V236" s="36" t="n">
        <v>-5551.056</v>
      </c>
      <c r="W236" s="36" t="n">
        <v>0</v>
      </c>
    </row>
    <row r="237">
      <c r="A237" s="37" t="inlineStr">
        <is>
          <t>2014-05</t>
        </is>
      </c>
      <c r="B237" s="37" t="n">
        <v>2014</v>
      </c>
      <c r="C237" s="37" t="n">
        <v>5</v>
      </c>
      <c r="D237" s="38" t="n">
        <v>-4915.22</v>
      </c>
      <c r="E237" s="38" t="n">
        <v>3401.642</v>
      </c>
      <c r="F237" s="38" t="n">
        <v>-2280.849</v>
      </c>
      <c r="G237" s="38" t="n">
        <v/>
      </c>
      <c r="H237" s="38" t="n">
        <v/>
      </c>
      <c r="I237" s="38" t="n">
        <v>-734.681</v>
      </c>
      <c r="J237" s="38" t="n">
        <v/>
      </c>
      <c r="K237" s="38" t="n">
        <v/>
      </c>
      <c r="L237" s="38" t="n">
        <v/>
      </c>
      <c r="M237" s="38" t="n">
        <v/>
      </c>
      <c r="N237" s="38" t="n">
        <v>-0.003</v>
      </c>
      <c r="O237" s="38" t="n">
        <v>-2202.33</v>
      </c>
      <c r="P237" s="38" t="n">
        <v/>
      </c>
      <c r="Q237" s="38" t="n">
        <v>-959.6950000000001</v>
      </c>
      <c r="R237" s="38" t="n">
        <v>214771.855</v>
      </c>
      <c r="S237" s="38" t="n">
        <v>180083.527</v>
      </c>
      <c r="T237" s="38" t="n">
        <v>34688.328</v>
      </c>
      <c r="U237" s="38" t="n">
        <v>-7691.136</v>
      </c>
      <c r="V237" s="38" t="n">
        <v>-7691.136</v>
      </c>
      <c r="W237" s="38" t="n">
        <v>0</v>
      </c>
    </row>
    <row r="238">
      <c r="A238" s="35" t="inlineStr">
        <is>
          <t>2014-06</t>
        </is>
      </c>
      <c r="B238" s="35" t="n">
        <v>2014</v>
      </c>
      <c r="C238" s="35" t="n">
        <v>6</v>
      </c>
      <c r="D238" s="36" t="n">
        <v>1270.932</v>
      </c>
      <c r="E238" s="36" t="n">
        <v>8127.848</v>
      </c>
      <c r="F238" s="36" t="n">
        <v>2230.352</v>
      </c>
      <c r="G238" s="36" t="n">
        <v/>
      </c>
      <c r="H238" s="36" t="n">
        <v/>
      </c>
      <c r="I238" s="36" t="n">
        <v>-216.025</v>
      </c>
      <c r="J238" s="36" t="n">
        <v/>
      </c>
      <c r="K238" s="36" t="n">
        <v/>
      </c>
      <c r="L238" s="36" t="n">
        <v/>
      </c>
      <c r="M238" s="36" t="n">
        <v/>
      </c>
      <c r="N238" s="36" t="n">
        <v>-0.016</v>
      </c>
      <c r="O238" s="36" t="n">
        <v>-3386.523</v>
      </c>
      <c r="P238" s="36" t="n">
        <v/>
      </c>
      <c r="Q238" s="36" t="n">
        <v>60.172</v>
      </c>
      <c r="R238" s="36" t="n">
        <v>222858.595</v>
      </c>
      <c r="S238" s="36" t="n">
        <v>184543.364</v>
      </c>
      <c r="T238" s="36" t="n">
        <v>38315.231</v>
      </c>
      <c r="U238" s="36" t="n">
        <v>8086.74</v>
      </c>
      <c r="V238" s="36" t="n">
        <v>8086.74</v>
      </c>
      <c r="W238" s="36" t="n">
        <v>0</v>
      </c>
    </row>
    <row r="239">
      <c r="A239" s="37" t="inlineStr">
        <is>
          <t>2014-07</t>
        </is>
      </c>
      <c r="B239" s="37" t="n">
        <v>2014</v>
      </c>
      <c r="C239" s="37" t="n">
        <v>7</v>
      </c>
      <c r="D239" s="38" t="n">
        <v>7823.303</v>
      </c>
      <c r="E239" s="38" t="n">
        <v>11401.89</v>
      </c>
      <c r="F239" s="38" t="n">
        <v>-15677.077</v>
      </c>
      <c r="G239" s="38" t="n">
        <v/>
      </c>
      <c r="H239" s="38" t="n">
        <v/>
      </c>
      <c r="I239" s="38" t="n">
        <v>-4090.065</v>
      </c>
      <c r="J239" s="38" t="n">
        <v/>
      </c>
      <c r="K239" s="38" t="n">
        <v/>
      </c>
      <c r="L239" s="38" t="n">
        <v/>
      </c>
      <c r="M239" s="38" t="n">
        <v/>
      </c>
      <c r="N239" s="38" t="n">
        <v>-0.001</v>
      </c>
      <c r="O239" s="38" t="n">
        <v>2583.095</v>
      </c>
      <c r="P239" s="38" t="n">
        <v/>
      </c>
      <c r="Q239" s="38" t="n">
        <v>-1305.044</v>
      </c>
      <c r="R239" s="38" t="n">
        <v>223594.688</v>
      </c>
      <c r="S239" s="38" t="n">
        <v>184054.315</v>
      </c>
      <c r="T239" s="38" t="n">
        <v>39540.373</v>
      </c>
      <c r="U239" s="38" t="n">
        <v>736.093</v>
      </c>
      <c r="V239" s="38" t="n">
        <v>736.101</v>
      </c>
      <c r="W239" s="38" t="n">
        <v>0.008</v>
      </c>
    </row>
    <row r="240">
      <c r="A240" s="35" t="inlineStr">
        <is>
          <t>2014-08</t>
        </is>
      </c>
      <c r="B240" s="35" t="n">
        <v>2014</v>
      </c>
      <c r="C240" s="35" t="n">
        <v>8</v>
      </c>
      <c r="D240" s="36" t="n">
        <v>-2464.888</v>
      </c>
      <c r="E240" s="36" t="n">
        <v>5550.816</v>
      </c>
      <c r="F240" s="36" t="n">
        <v>-23675.51</v>
      </c>
      <c r="G240" s="36" t="n">
        <v/>
      </c>
      <c r="H240" s="36" t="n">
        <v/>
      </c>
      <c r="I240" s="36" t="n">
        <v>30494.335</v>
      </c>
      <c r="J240" s="36" t="n">
        <v/>
      </c>
      <c r="K240" s="36" t="n">
        <v/>
      </c>
      <c r="L240" s="36" t="n">
        <v/>
      </c>
      <c r="M240" s="36" t="n">
        <v/>
      </c>
      <c r="N240" s="36" t="n">
        <v>0</v>
      </c>
      <c r="O240" s="36" t="n">
        <v>-2479.399</v>
      </c>
      <c r="P240" s="36" t="n">
        <v/>
      </c>
      <c r="Q240" s="36" t="n">
        <v>324.961</v>
      </c>
      <c r="R240" s="36" t="n">
        <v>231344.899</v>
      </c>
      <c r="S240" s="36" t="n">
        <v>187277.025</v>
      </c>
      <c r="T240" s="36" t="n">
        <v>44067.874</v>
      </c>
      <c r="U240" s="36" t="n">
        <v>7750.211</v>
      </c>
      <c r="V240" s="36" t="n">
        <v>7750.315</v>
      </c>
      <c r="W240" s="36" t="n">
        <v>0.104</v>
      </c>
    </row>
    <row r="241">
      <c r="A241" s="37" t="inlineStr">
        <is>
          <t>2014-09</t>
        </is>
      </c>
      <c r="B241" s="37" t="n">
        <v>2014</v>
      </c>
      <c r="C241" s="37" t="n">
        <v>9</v>
      </c>
      <c r="D241" s="38" t="n">
        <v>18560.338</v>
      </c>
      <c r="E241" s="38" t="n">
        <v>295.962</v>
      </c>
      <c r="F241" s="38" t="n">
        <v>-49796.097</v>
      </c>
      <c r="G241" s="38" t="n">
        <v/>
      </c>
      <c r="H241" s="38" t="n">
        <v/>
      </c>
      <c r="I241" s="38" t="n">
        <v>19277.36</v>
      </c>
      <c r="J241" s="38" t="n">
        <v/>
      </c>
      <c r="K241" s="38" t="n">
        <v/>
      </c>
      <c r="L241" s="38" t="n">
        <v/>
      </c>
      <c r="M241" s="38" t="n">
        <v/>
      </c>
      <c r="N241" s="38" t="n">
        <v>0</v>
      </c>
      <c r="O241" s="38" t="n">
        <v>18393.096</v>
      </c>
      <c r="P241" s="38" t="n">
        <v/>
      </c>
      <c r="Q241" s="38" t="n">
        <v>333.824</v>
      </c>
      <c r="R241" s="38" t="n">
        <v>238409.382</v>
      </c>
      <c r="S241" s="38" t="n">
        <v>192199.816</v>
      </c>
      <c r="T241" s="38" t="n">
        <v>46209.566</v>
      </c>
      <c r="U241" s="38" t="n">
        <v>7064.483</v>
      </c>
      <c r="V241" s="38" t="n">
        <v>7064.483</v>
      </c>
      <c r="W241" s="38" t="n">
        <v>0</v>
      </c>
    </row>
    <row r="242">
      <c r="A242" s="35" t="inlineStr">
        <is>
          <t>2014-10</t>
        </is>
      </c>
      <c r="B242" s="35" t="n">
        <v>2014</v>
      </c>
      <c r="C242" s="35" t="n">
        <v>10</v>
      </c>
      <c r="D242" s="36" t="n">
        <v>1476.196</v>
      </c>
      <c r="E242" s="36" t="n">
        <v>311.071</v>
      </c>
      <c r="F242" s="36" t="n">
        <v>-5807.31</v>
      </c>
      <c r="G242" s="36" t="n">
        <v/>
      </c>
      <c r="H242" s="36" t="n">
        <v/>
      </c>
      <c r="I242" s="36" t="n">
        <v>3048.178</v>
      </c>
      <c r="J242" s="36" t="n">
        <v/>
      </c>
      <c r="K242" s="36" t="n">
        <v/>
      </c>
      <c r="L242" s="36" t="n">
        <v/>
      </c>
      <c r="M242" s="36" t="n">
        <v/>
      </c>
      <c r="N242" s="36" t="n">
        <v>19.991</v>
      </c>
      <c r="O242" s="36" t="n">
        <v>-6762.45</v>
      </c>
      <c r="P242" s="36" t="n">
        <v/>
      </c>
      <c r="Q242" s="36" t="n">
        <v>333.27</v>
      </c>
      <c r="R242" s="36" t="n">
        <v>231028.326</v>
      </c>
      <c r="S242" s="36" t="n">
        <v>192507.591</v>
      </c>
      <c r="T242" s="36" t="n">
        <v>38520.735</v>
      </c>
      <c r="U242" s="36" t="n">
        <v>-7381.056</v>
      </c>
      <c r="V242" s="36" t="n">
        <v>-7381.054</v>
      </c>
      <c r="W242" s="36" t="n">
        <v>0.002</v>
      </c>
    </row>
    <row r="243">
      <c r="A243" s="37" t="inlineStr">
        <is>
          <t>2014-11</t>
        </is>
      </c>
      <c r="B243" s="37" t="n">
        <v>2014</v>
      </c>
      <c r="C243" s="37" t="n">
        <v>11</v>
      </c>
      <c r="D243" s="38" t="n">
        <v>-1070.73</v>
      </c>
      <c r="E243" s="38" t="n">
        <v>434.461</v>
      </c>
      <c r="F243" s="38" t="n">
        <v>-9555.01</v>
      </c>
      <c r="G243" s="38" t="n">
        <v/>
      </c>
      <c r="H243" s="38" t="n">
        <v/>
      </c>
      <c r="I243" s="38" t="n">
        <v>11803.962</v>
      </c>
      <c r="J243" s="38" t="n">
        <v/>
      </c>
      <c r="K243" s="38" t="n">
        <v/>
      </c>
      <c r="L243" s="38" t="n">
        <v/>
      </c>
      <c r="M243" s="38" t="n">
        <v/>
      </c>
      <c r="N243" s="38" t="n">
        <v>-20.009</v>
      </c>
      <c r="O243" s="38" t="n">
        <v>8724.025</v>
      </c>
      <c r="P243" s="38" t="n">
        <v/>
      </c>
      <c r="Q243" s="38" t="n">
        <v>280.539</v>
      </c>
      <c r="R243" s="38" t="n">
        <v>241625.564</v>
      </c>
      <c r="S243" s="38" t="n">
        <v>199389.685</v>
      </c>
      <c r="T243" s="38" t="n">
        <v>42235.88</v>
      </c>
      <c r="U243" s="38" t="n">
        <v>10597.238</v>
      </c>
      <c r="V243" s="38" t="n">
        <v>10597.238</v>
      </c>
      <c r="W243" s="38" t="n">
        <v>0</v>
      </c>
    </row>
    <row r="244">
      <c r="A244" s="35" t="inlineStr">
        <is>
          <t>2014-12</t>
        </is>
      </c>
      <c r="B244" s="35" t="n">
        <v>2014</v>
      </c>
      <c r="C244" s="35" t="n">
        <v>12</v>
      </c>
      <c r="D244" s="36" t="n">
        <v>-17938.494</v>
      </c>
      <c r="E244" s="36" t="n">
        <v>-27192.559</v>
      </c>
      <c r="F244" s="36" t="n">
        <v>43320.612</v>
      </c>
      <c r="G244" s="36" t="n">
        <v/>
      </c>
      <c r="H244" s="36" t="n">
        <v/>
      </c>
      <c r="I244" s="36" t="n">
        <v>6483.102</v>
      </c>
      <c r="J244" s="36" t="n">
        <v/>
      </c>
      <c r="K244" s="36" t="n">
        <v/>
      </c>
      <c r="L244" s="36" t="n">
        <v/>
      </c>
      <c r="M244" s="36" t="n">
        <v/>
      </c>
      <c r="N244" s="36" t="n">
        <v>0</v>
      </c>
      <c r="O244" s="36" t="n">
        <v>17044.874</v>
      </c>
      <c r="P244" s="36" t="n">
        <v/>
      </c>
      <c r="Q244" s="36" t="n">
        <v>185.497</v>
      </c>
      <c r="R244" s="36" t="n">
        <v>263528.517</v>
      </c>
      <c r="S244" s="36" t="n">
        <v>220853.706</v>
      </c>
      <c r="T244" s="36" t="n">
        <v>42674.811</v>
      </c>
      <c r="U244" s="36" t="n">
        <v>21902.953</v>
      </c>
      <c r="V244" s="36" t="n">
        <v>21903.032</v>
      </c>
      <c r="W244" s="36" t="n">
        <v>0.079</v>
      </c>
    </row>
    <row r="245">
      <c r="A245" s="37" t="inlineStr">
        <is>
          <t>2015-01</t>
        </is>
      </c>
      <c r="B245" s="37" t="n">
        <v>2015</v>
      </c>
      <c r="C245" s="37" t="n">
        <v>1</v>
      </c>
      <c r="D245" s="38" t="n">
        <v>17974.099</v>
      </c>
      <c r="E245" s="38" t="n">
        <v>440.244</v>
      </c>
      <c r="F245" s="38" t="n">
        <v>-33785.843</v>
      </c>
      <c r="G245" s="38" t="n">
        <v>69381.28999999999</v>
      </c>
      <c r="H245" s="38" t="n">
        <v>-103167.133</v>
      </c>
      <c r="I245" s="38" t="n">
        <v>50.539</v>
      </c>
      <c r="J245" s="38" t="n">
        <v/>
      </c>
      <c r="K245" s="38" t="n">
        <v/>
      </c>
      <c r="L245" s="38" t="n">
        <v/>
      </c>
      <c r="M245" s="38" t="n">
        <v/>
      </c>
      <c r="N245" s="38" t="n">
        <v>0</v>
      </c>
      <c r="O245" s="38" t="n">
        <v>-10780.994</v>
      </c>
      <c r="P245" s="38" t="n">
        <v/>
      </c>
      <c r="Q245" s="38" t="n">
        <v>1098.217</v>
      </c>
      <c r="R245" s="38" t="n">
        <v>238524.692</v>
      </c>
      <c r="S245" s="38" t="n">
        <v>199352.047</v>
      </c>
      <c r="T245" s="38" t="n">
        <v>39172.645</v>
      </c>
      <c r="U245" s="38" t="n">
        <v>-25003.825</v>
      </c>
      <c r="V245" s="38" t="n">
        <v>-25003.738</v>
      </c>
      <c r="W245" s="38" t="n">
        <v>0.08699999999999999</v>
      </c>
    </row>
    <row r="246">
      <c r="A246" s="35" t="inlineStr">
        <is>
          <t>2015-02</t>
        </is>
      </c>
      <c r="B246" s="35" t="n">
        <v>2015</v>
      </c>
      <c r="C246" s="35" t="n">
        <v>2</v>
      </c>
      <c r="D246" s="36" t="n">
        <v>-11204.564</v>
      </c>
      <c r="E246" s="36" t="n">
        <v>2286.696</v>
      </c>
      <c r="F246" s="36" t="n">
        <v>-23838.257</v>
      </c>
      <c r="G246" s="36" t="n">
        <v>-47271.749</v>
      </c>
      <c r="H246" s="36" t="n">
        <v>23433.492</v>
      </c>
      <c r="I246" s="36" t="n">
        <v>5391.239</v>
      </c>
      <c r="J246" s="36" t="n">
        <v/>
      </c>
      <c r="K246" s="36" t="n">
        <v/>
      </c>
      <c r="L246" s="36" t="n">
        <v/>
      </c>
      <c r="M246" s="36" t="n">
        <v/>
      </c>
      <c r="N246" s="36" t="n">
        <v>-0.029</v>
      </c>
      <c r="O246" s="36" t="n">
        <v>27292.335</v>
      </c>
      <c r="P246" s="36" t="n">
        <v/>
      </c>
      <c r="Q246" s="36" t="n">
        <v>363.501</v>
      </c>
      <c r="R246" s="36" t="n">
        <v>238815.587</v>
      </c>
      <c r="S246" s="36" t="n">
        <v>198076.416</v>
      </c>
      <c r="T246" s="36" t="n">
        <v>40739.171</v>
      </c>
      <c r="U246" s="36" t="n">
        <v>290.895</v>
      </c>
      <c r="V246" s="36" t="n">
        <v>290.921</v>
      </c>
      <c r="W246" s="36" t="n">
        <v>0.026</v>
      </c>
    </row>
    <row r="247">
      <c r="A247" s="37" t="inlineStr">
        <is>
          <t>2015-03</t>
        </is>
      </c>
      <c r="B247" s="37" t="n">
        <v>2015</v>
      </c>
      <c r="C247" s="37" t="n">
        <v>3</v>
      </c>
      <c r="D247" s="38" t="n">
        <v>-7512.856</v>
      </c>
      <c r="E247" s="38" t="n">
        <v>4012.786</v>
      </c>
      <c r="F247" s="38" t="n">
        <v>-30748.652</v>
      </c>
      <c r="G247" s="38" t="n">
        <v>-72871.99800000001</v>
      </c>
      <c r="H247" s="38" t="n">
        <v>42123.346</v>
      </c>
      <c r="I247" s="38" t="n">
        <v>1691.777</v>
      </c>
      <c r="J247" s="38" t="n">
        <v/>
      </c>
      <c r="K247" s="38" t="n">
        <v/>
      </c>
      <c r="L247" s="38" t="n">
        <v/>
      </c>
      <c r="M247" s="38" t="n">
        <v/>
      </c>
      <c r="N247" s="38" t="n">
        <v>1.103</v>
      </c>
      <c r="O247" s="38" t="n">
        <v>34512.061</v>
      </c>
      <c r="P247" s="38" t="n">
        <v/>
      </c>
      <c r="Q247" s="38" t="n">
        <v>-115.248</v>
      </c>
      <c r="R247" s="38" t="n">
        <v>240656.354</v>
      </c>
      <c r="S247" s="38" t="n">
        <v>198876.067</v>
      </c>
      <c r="T247" s="38" t="n">
        <v>41780.288</v>
      </c>
      <c r="U247" s="38" t="n">
        <v>1840.767</v>
      </c>
      <c r="V247" s="38" t="n">
        <v>1840.971</v>
      </c>
      <c r="W247" s="38" t="n">
        <v>0.204</v>
      </c>
    </row>
    <row r="248">
      <c r="A248" s="35" t="inlineStr">
        <is>
          <t>2015-04</t>
        </is>
      </c>
      <c r="B248" s="35" t="n">
        <v>2015</v>
      </c>
      <c r="C248" s="35" t="n">
        <v>4</v>
      </c>
      <c r="D248" s="36" t="n">
        <v>-10186.023</v>
      </c>
      <c r="E248" s="36" t="n">
        <v>-1433.219</v>
      </c>
      <c r="F248" s="36" t="n">
        <v>35627.023</v>
      </c>
      <c r="G248" s="36" t="n">
        <v>10471.467</v>
      </c>
      <c r="H248" s="36" t="n">
        <v>25155.556</v>
      </c>
      <c r="I248" s="36" t="n">
        <v>1911.707</v>
      </c>
      <c r="J248" s="36" t="n">
        <v/>
      </c>
      <c r="K248" s="36" t="n">
        <v/>
      </c>
      <c r="L248" s="36" t="n">
        <v/>
      </c>
      <c r="M248" s="36" t="n">
        <v/>
      </c>
      <c r="N248" s="36" t="n">
        <v>0.126</v>
      </c>
      <c r="O248" s="36" t="n">
        <v>-31828.985</v>
      </c>
      <c r="P248" s="36" t="n">
        <v/>
      </c>
      <c r="Q248" s="36" t="n">
        <v>273.129</v>
      </c>
      <c r="R248" s="36" t="n">
        <v>235020.109</v>
      </c>
      <c r="S248" s="36" t="n">
        <v>197269.641</v>
      </c>
      <c r="T248" s="36" t="n">
        <v>37750.468</v>
      </c>
      <c r="U248" s="36" t="n">
        <v>-5636.245</v>
      </c>
      <c r="V248" s="36" t="n">
        <v>-5636.242</v>
      </c>
      <c r="W248" s="36" t="n">
        <v>0.003</v>
      </c>
    </row>
    <row r="249">
      <c r="A249" s="37" t="inlineStr">
        <is>
          <t>2015-05</t>
        </is>
      </c>
      <c r="B249" s="37" t="n">
        <v>2015</v>
      </c>
      <c r="C249" s="37" t="n">
        <v>5</v>
      </c>
      <c r="D249" s="38" t="n">
        <v>-4687.678</v>
      </c>
      <c r="E249" s="38" t="n">
        <v>9741.280000000001</v>
      </c>
      <c r="F249" s="38" t="n">
        <v>-22800.727</v>
      </c>
      <c r="G249" s="38" t="n">
        <v>-11454.57</v>
      </c>
      <c r="H249" s="38" t="n">
        <v>-11346.157</v>
      </c>
      <c r="I249" s="38" t="n">
        <v>-856.819</v>
      </c>
      <c r="J249" s="38" t="n">
        <v/>
      </c>
      <c r="K249" s="38" t="n">
        <v/>
      </c>
      <c r="L249" s="38" t="n">
        <v/>
      </c>
      <c r="M249" s="38" t="n">
        <v/>
      </c>
      <c r="N249" s="38" t="n">
        <v>-1.4</v>
      </c>
      <c r="O249" s="38" t="n">
        <v>22065.434</v>
      </c>
      <c r="P249" s="38" t="n">
        <v/>
      </c>
      <c r="Q249" s="38" t="n">
        <v>1033.266</v>
      </c>
      <c r="R249" s="38" t="n">
        <v>239513.461</v>
      </c>
      <c r="S249" s="38" t="n">
        <v>194541.991</v>
      </c>
      <c r="T249" s="38" t="n">
        <v>44971.47</v>
      </c>
      <c r="U249" s="38" t="n">
        <v>4493.352</v>
      </c>
      <c r="V249" s="38" t="n">
        <v>4493.356</v>
      </c>
      <c r="W249" s="38" t="n">
        <v>0.004</v>
      </c>
    </row>
    <row r="250">
      <c r="A250" s="35" t="inlineStr">
        <is>
          <t>2015-06</t>
        </is>
      </c>
      <c r="B250" s="35" t="n">
        <v>2015</v>
      </c>
      <c r="C250" s="35" t="n">
        <v>6</v>
      </c>
      <c r="D250" s="36" t="n">
        <v>7614.951</v>
      </c>
      <c r="E250" s="36" t="n">
        <v>4715.261</v>
      </c>
      <c r="F250" s="36" t="n">
        <v>-18859.884</v>
      </c>
      <c r="G250" s="36" t="n">
        <v>-63634.669</v>
      </c>
      <c r="H250" s="36" t="n">
        <v>44774.785</v>
      </c>
      <c r="I250" s="36" t="n">
        <v>6762.059</v>
      </c>
      <c r="J250" s="36" t="n">
        <v/>
      </c>
      <c r="K250" s="36" t="n">
        <v/>
      </c>
      <c r="L250" s="36" t="n">
        <v/>
      </c>
      <c r="M250" s="36" t="n">
        <v/>
      </c>
      <c r="N250" s="36" t="n">
        <v>20.366</v>
      </c>
      <c r="O250" s="36" t="n">
        <v>-8125.162</v>
      </c>
      <c r="P250" s="36" t="n">
        <v/>
      </c>
      <c r="Q250" s="36" t="n">
        <v>317.675</v>
      </c>
      <c r="R250" s="36" t="n">
        <v>231958.724</v>
      </c>
      <c r="S250" s="36" t="n">
        <v>195609.781</v>
      </c>
      <c r="T250" s="36" t="n">
        <v>36348.943</v>
      </c>
      <c r="U250" s="36" t="n">
        <v>-7554.737</v>
      </c>
      <c r="V250" s="36" t="n">
        <v>-7554.734</v>
      </c>
      <c r="W250" s="36" t="n">
        <v>0.003</v>
      </c>
    </row>
    <row r="251">
      <c r="A251" s="37" t="inlineStr">
        <is>
          <t>2015-07</t>
        </is>
      </c>
      <c r="B251" s="37" t="n">
        <v>2015</v>
      </c>
      <c r="C251" s="37" t="n">
        <v>7</v>
      </c>
      <c r="D251" s="38" t="n">
        <v>10325.098</v>
      </c>
      <c r="E251" s="38" t="n">
        <v>3088.476</v>
      </c>
      <c r="F251" s="38" t="n">
        <v>-40175.127</v>
      </c>
      <c r="G251" s="38" t="n">
        <v>21068.801</v>
      </c>
      <c r="H251" s="38" t="n">
        <v>-61243.928</v>
      </c>
      <c r="I251" s="38" t="n">
        <v>-4784.505</v>
      </c>
      <c r="J251" s="38" t="n">
        <v/>
      </c>
      <c r="K251" s="38" t="n">
        <v/>
      </c>
      <c r="L251" s="38" t="n">
        <v/>
      </c>
      <c r="M251" s="38" t="n">
        <v/>
      </c>
      <c r="N251" s="38" t="n">
        <v>-19.724</v>
      </c>
      <c r="O251" s="38" t="n">
        <v>23905.714</v>
      </c>
      <c r="P251" s="38" t="n">
        <v/>
      </c>
      <c r="Q251" s="38" t="n">
        <v>764.24</v>
      </c>
      <c r="R251" s="38" t="n">
        <v>225062.844</v>
      </c>
      <c r="S251" s="38" t="n">
        <v>195652.043</v>
      </c>
      <c r="T251" s="38" t="n">
        <v>29410.801</v>
      </c>
      <c r="U251" s="38" t="n">
        <v>-6895.88</v>
      </c>
      <c r="V251" s="38" t="n">
        <v>-6895.828</v>
      </c>
      <c r="W251" s="38" t="n">
        <v>0.052</v>
      </c>
    </row>
    <row r="252">
      <c r="A252" s="35" t="inlineStr">
        <is>
          <t>2015-08</t>
        </is>
      </c>
      <c r="B252" s="35" t="n">
        <v>2015</v>
      </c>
      <c r="C252" s="35" t="n">
        <v>8</v>
      </c>
      <c r="D252" s="36" t="n">
        <v>-2602.971</v>
      </c>
      <c r="E252" s="36" t="n">
        <v>582.579</v>
      </c>
      <c r="F252" s="36" t="n">
        <v>-6221.033</v>
      </c>
      <c r="G252" s="36" t="n">
        <v>-47755.661</v>
      </c>
      <c r="H252" s="36" t="n">
        <v>41534.628</v>
      </c>
      <c r="I252" s="36" t="n">
        <v>-2756.455</v>
      </c>
      <c r="J252" s="36" t="n">
        <v/>
      </c>
      <c r="K252" s="36" t="n">
        <v/>
      </c>
      <c r="L252" s="36" t="n">
        <v/>
      </c>
      <c r="M252" s="36" t="n">
        <v/>
      </c>
      <c r="N252" s="36" t="n">
        <v>1.176</v>
      </c>
      <c r="O252" s="36" t="n">
        <v>17226.116</v>
      </c>
      <c r="P252" s="36" t="n">
        <v/>
      </c>
      <c r="Q252" s="36" t="n">
        <v>424.644</v>
      </c>
      <c r="R252" s="36" t="n">
        <v>231716.459</v>
      </c>
      <c r="S252" s="36" t="n">
        <v>195156.21</v>
      </c>
      <c r="T252" s="36" t="n">
        <v>36560.248</v>
      </c>
      <c r="U252" s="36" t="n">
        <v>6653.615</v>
      </c>
      <c r="V252" s="36" t="n">
        <v>6654.056</v>
      </c>
      <c r="W252" s="36" t="n">
        <v>0.441</v>
      </c>
    </row>
    <row r="253">
      <c r="A253" s="37" t="inlineStr">
        <is>
          <t>2015-09</t>
        </is>
      </c>
      <c r="B253" s="37" t="n">
        <v>2015</v>
      </c>
      <c r="C253" s="37" t="n">
        <v>9</v>
      </c>
      <c r="D253" s="38" t="n">
        <v>180.052</v>
      </c>
      <c r="E253" s="38" t="n">
        <v>-27501.191</v>
      </c>
      <c r="F253" s="38" t="n">
        <v>12682.628</v>
      </c>
      <c r="G253" s="38" t="n">
        <v>-12582.681</v>
      </c>
      <c r="H253" s="38" t="n">
        <v>25265.309</v>
      </c>
      <c r="I253" s="38" t="n">
        <v>-27630.355</v>
      </c>
      <c r="J253" s="38" t="n">
        <v/>
      </c>
      <c r="K253" s="38" t="n">
        <v/>
      </c>
      <c r="L253" s="38" t="n">
        <v/>
      </c>
      <c r="M253" s="38" t="n">
        <v/>
      </c>
      <c r="N253" s="38" t="n">
        <v>-1.979</v>
      </c>
      <c r="O253" s="38" t="n">
        <v>38598.652</v>
      </c>
      <c r="P253" s="38" t="n">
        <v/>
      </c>
      <c r="Q253" s="38" t="n">
        <v>403.195</v>
      </c>
      <c r="R253" s="38" t="n">
        <v>228447.456</v>
      </c>
      <c r="S253" s="38" t="n">
        <v>196014.794</v>
      </c>
      <c r="T253" s="38" t="n">
        <v>32432.662</v>
      </c>
      <c r="U253" s="38" t="n">
        <v>-3269.003</v>
      </c>
      <c r="V253" s="38" t="n">
        <v>-3268.998</v>
      </c>
      <c r="W253" s="38" t="n">
        <v>0.005</v>
      </c>
    </row>
    <row r="254">
      <c r="A254" s="35" t="inlineStr">
        <is>
          <t>2015-10</t>
        </is>
      </c>
      <c r="B254" s="35" t="n">
        <v>2015</v>
      </c>
      <c r="C254" s="35" t="n">
        <v>10</v>
      </c>
      <c r="D254" s="36" t="n">
        <v>16048.73</v>
      </c>
      <c r="E254" s="36" t="n">
        <v>-1723.345</v>
      </c>
      <c r="F254" s="36" t="n">
        <v>12997.897</v>
      </c>
      <c r="G254" s="36" t="n">
        <v>114642.461</v>
      </c>
      <c r="H254" s="36" t="n">
        <v>-101644.564</v>
      </c>
      <c r="I254" s="36" t="n">
        <v>2442.418</v>
      </c>
      <c r="J254" s="36" t="n">
        <v/>
      </c>
      <c r="K254" s="36" t="n">
        <v/>
      </c>
      <c r="L254" s="36" t="n">
        <v/>
      </c>
      <c r="M254" s="36" t="n">
        <v/>
      </c>
      <c r="N254" s="36" t="n">
        <v>2.44</v>
      </c>
      <c r="O254" s="36" t="n">
        <v>-19030.259</v>
      </c>
      <c r="P254" s="36" t="n">
        <v/>
      </c>
      <c r="Q254" s="36" t="n">
        <v>436.017</v>
      </c>
      <c r="R254" s="36" t="n">
        <v>239621.335</v>
      </c>
      <c r="S254" s="36" t="n">
        <v>203232.424</v>
      </c>
      <c r="T254" s="36" t="n">
        <v>36388.911</v>
      </c>
      <c r="U254" s="36" t="n">
        <v>11173.879</v>
      </c>
      <c r="V254" s="36" t="n">
        <v>11173.898</v>
      </c>
      <c r="W254" s="36" t="n">
        <v>0.019</v>
      </c>
    </row>
    <row r="255">
      <c r="A255" s="37" t="inlineStr">
        <is>
          <t>2015-11</t>
        </is>
      </c>
      <c r="B255" s="37" t="n">
        <v>2015</v>
      </c>
      <c r="C255" s="37" t="n">
        <v>11</v>
      </c>
      <c r="D255" s="38" t="n">
        <v>11750.069</v>
      </c>
      <c r="E255" s="38" t="n">
        <v>-8169.897</v>
      </c>
      <c r="F255" s="38" t="n">
        <v>10069.559</v>
      </c>
      <c r="G255" s="38" t="n">
        <v>-42372.044</v>
      </c>
      <c r="H255" s="38" t="n">
        <v>52441.603</v>
      </c>
      <c r="I255" s="38" t="n">
        <v>751.688</v>
      </c>
      <c r="J255" s="38" t="n">
        <v/>
      </c>
      <c r="K255" s="38" t="n">
        <v/>
      </c>
      <c r="L255" s="38" t="n">
        <v/>
      </c>
      <c r="M255" s="38" t="n">
        <v/>
      </c>
      <c r="N255" s="38" t="n">
        <v>-0.713</v>
      </c>
      <c r="O255" s="38" t="n">
        <v>-11972.218</v>
      </c>
      <c r="P255" s="38" t="n">
        <v/>
      </c>
      <c r="Q255" s="38" t="n">
        <v>797.0890000000001</v>
      </c>
      <c r="R255" s="38" t="n">
        <v>242846.854</v>
      </c>
      <c r="S255" s="38" t="n">
        <v>205317.865</v>
      </c>
      <c r="T255" s="38" t="n">
        <v>37528.989</v>
      </c>
      <c r="U255" s="38" t="n">
        <v>3225.519</v>
      </c>
      <c r="V255" s="38" t="n">
        <v>3225.577</v>
      </c>
      <c r="W255" s="38" t="n">
        <v>0.058</v>
      </c>
    </row>
    <row r="256">
      <c r="A256" s="35" t="inlineStr">
        <is>
          <t>2015-12</t>
        </is>
      </c>
      <c r="B256" s="35" t="n">
        <v>2015</v>
      </c>
      <c r="C256" s="35" t="n">
        <v>12</v>
      </c>
      <c r="D256" s="36" t="n">
        <v>31966.901</v>
      </c>
      <c r="E256" s="36" t="n">
        <v>-1077.38</v>
      </c>
      <c r="F256" s="36" t="n">
        <v>-18963.647</v>
      </c>
      <c r="G256" s="36" t="n">
        <v>-41100.11</v>
      </c>
      <c r="H256" s="36" t="n">
        <v>22136.463</v>
      </c>
      <c r="I256" s="36" t="n">
        <v>-7713.625</v>
      </c>
      <c r="J256" s="36" t="n">
        <v/>
      </c>
      <c r="K256" s="36" t="n">
        <v/>
      </c>
      <c r="L256" s="36" t="n">
        <v/>
      </c>
      <c r="M256" s="36" t="n">
        <v/>
      </c>
      <c r="N256" s="36" t="n">
        <v>-1.959</v>
      </c>
      <c r="O256" s="36" t="n">
        <v>7794.459</v>
      </c>
      <c r="P256" s="36" t="n">
        <v/>
      </c>
      <c r="Q256" s="36" t="n">
        <v>437.373</v>
      </c>
      <c r="R256" s="36" t="n">
        <v>255288.922</v>
      </c>
      <c r="S256" s="36" t="n">
        <v>225485.184</v>
      </c>
      <c r="T256" s="36" t="n">
        <v>29803.738</v>
      </c>
      <c r="U256" s="36" t="n">
        <v>12442.068</v>
      </c>
      <c r="V256" s="36" t="n">
        <v>12442.122</v>
      </c>
      <c r="W256" s="36" t="n">
        <v>0.054</v>
      </c>
    </row>
    <row r="257">
      <c r="A257" s="37" t="inlineStr">
        <is>
          <t>2016-01</t>
        </is>
      </c>
      <c r="B257" s="37" t="n">
        <v>2016</v>
      </c>
      <c r="C257" s="37" t="n">
        <v>1</v>
      </c>
      <c r="D257" s="38" t="n">
        <v>-5251.835</v>
      </c>
      <c r="E257" s="38" t="n">
        <v>527.497</v>
      </c>
      <c r="F257" s="38" t="n">
        <v>-28720.869</v>
      </c>
      <c r="G257" s="38" t="n">
        <v>76629.137</v>
      </c>
      <c r="H257" s="38" t="n">
        <v>-105350.006</v>
      </c>
      <c r="I257" s="38" t="n">
        <v>866.131</v>
      </c>
      <c r="J257" s="38" t="n">
        <v/>
      </c>
      <c r="K257" s="38" t="n">
        <v/>
      </c>
      <c r="L257" s="38" t="n">
        <v/>
      </c>
      <c r="M257" s="38" t="n">
        <v/>
      </c>
      <c r="N257" s="38" t="n">
        <v>0.466</v>
      </c>
      <c r="O257" s="38" t="n">
        <v>16769.281</v>
      </c>
      <c r="P257" s="38" t="n">
        <v/>
      </c>
      <c r="Q257" s="38" t="n">
        <v>849.1559999999999</v>
      </c>
      <c r="R257" s="38" t="n">
        <v>240328.748</v>
      </c>
      <c r="S257" s="38" t="n">
        <v>207609.265</v>
      </c>
      <c r="T257" s="38" t="n">
        <v>32719.483</v>
      </c>
      <c r="U257" s="38" t="n">
        <v>-14960.174</v>
      </c>
      <c r="V257" s="38" t="n">
        <v>-14960.173</v>
      </c>
      <c r="W257" s="38" t="n">
        <v>0.001</v>
      </c>
    </row>
    <row r="258">
      <c r="A258" s="35" t="inlineStr">
        <is>
          <t>2016-02</t>
        </is>
      </c>
      <c r="B258" s="35" t="n">
        <v>2016</v>
      </c>
      <c r="C258" s="35" t="n">
        <v>2</v>
      </c>
      <c r="D258" s="36" t="n">
        <v>2042.186</v>
      </c>
      <c r="E258" s="36" t="n">
        <v>-325.292</v>
      </c>
      <c r="F258" s="36" t="n">
        <v>18811.897</v>
      </c>
      <c r="G258" s="36" t="n">
        <v>-37965.968</v>
      </c>
      <c r="H258" s="36" t="n">
        <v>56777.865</v>
      </c>
      <c r="I258" s="36" t="n">
        <v>2706.505</v>
      </c>
      <c r="J258" s="36" t="n">
        <v/>
      </c>
      <c r="K258" s="36" t="n">
        <v/>
      </c>
      <c r="L258" s="36" t="n">
        <v/>
      </c>
      <c r="M258" s="36" t="n">
        <v/>
      </c>
      <c r="N258" s="36" t="n">
        <v>2.308</v>
      </c>
      <c r="O258" s="36" t="n">
        <v>-11717.839</v>
      </c>
      <c r="P258" s="36" t="n">
        <v/>
      </c>
      <c r="Q258" s="36" t="n">
        <v>711.393</v>
      </c>
      <c r="R258" s="36" t="n">
        <v>252559.892</v>
      </c>
      <c r="S258" s="36" t="n">
        <v>205134.265</v>
      </c>
      <c r="T258" s="36" t="n">
        <v>47425.627</v>
      </c>
      <c r="U258" s="36" t="n">
        <v>12231.144</v>
      </c>
      <c r="V258" s="36" t="n">
        <v>12231.158</v>
      </c>
      <c r="W258" s="36" t="n">
        <v>0.014</v>
      </c>
    </row>
    <row r="259">
      <c r="A259" s="37" t="inlineStr">
        <is>
          <t>2016-03</t>
        </is>
      </c>
      <c r="B259" s="37" t="n">
        <v>2016</v>
      </c>
      <c r="C259" s="37" t="n">
        <v>3</v>
      </c>
      <c r="D259" s="38" t="n">
        <v>8517.24</v>
      </c>
      <c r="E259" s="38" t="n">
        <v>-18973.263</v>
      </c>
      <c r="F259" s="38" t="n">
        <v>34819.445</v>
      </c>
      <c r="G259" s="38" t="n">
        <v>-44032.021</v>
      </c>
      <c r="H259" s="38" t="n">
        <v>78851.466</v>
      </c>
      <c r="I259" s="38" t="n">
        <v>8052.035</v>
      </c>
      <c r="J259" s="38" t="n">
        <v/>
      </c>
      <c r="K259" s="38" t="n">
        <v/>
      </c>
      <c r="L259" s="38" t="n">
        <v/>
      </c>
      <c r="M259" s="38" t="n">
        <v/>
      </c>
      <c r="N259" s="38" t="n">
        <v>0.497</v>
      </c>
      <c r="O259" s="38" t="n">
        <v>-42696.715</v>
      </c>
      <c r="P259" s="38" t="n">
        <v/>
      </c>
      <c r="Q259" s="38" t="n">
        <v>250.851</v>
      </c>
      <c r="R259" s="38" t="n">
        <v>242529.929</v>
      </c>
      <c r="S259" s="38" t="n">
        <v>203800.952</v>
      </c>
      <c r="T259" s="38" t="n">
        <v>38728.977</v>
      </c>
      <c r="U259" s="38" t="n">
        <v>-10029.963</v>
      </c>
      <c r="V259" s="38" t="n">
        <v>-10029.91</v>
      </c>
      <c r="W259" s="38" t="n">
        <v>0.053</v>
      </c>
    </row>
    <row r="260">
      <c r="A260" s="35" t="inlineStr">
        <is>
          <t>2016-04</t>
        </is>
      </c>
      <c r="B260" s="35" t="n">
        <v>2016</v>
      </c>
      <c r="C260" s="35" t="n">
        <v>4</v>
      </c>
      <c r="D260" s="36" t="n">
        <v>-5076.87</v>
      </c>
      <c r="E260" s="36" t="n">
        <v>12722.677</v>
      </c>
      <c r="F260" s="36" t="n">
        <v>-1188.213</v>
      </c>
      <c r="G260" s="36" t="n">
        <v>109449.669</v>
      </c>
      <c r="H260" s="36" t="n">
        <v>-110637.882</v>
      </c>
      <c r="I260" s="36" t="n">
        <v>5188.195</v>
      </c>
      <c r="J260" s="36" t="n">
        <v/>
      </c>
      <c r="K260" s="36" t="n">
        <v/>
      </c>
      <c r="L260" s="36" t="n">
        <v/>
      </c>
      <c r="M260" s="36" t="n">
        <v/>
      </c>
      <c r="N260" s="36" t="n">
        <v>-3.531</v>
      </c>
      <c r="O260" s="36" t="n">
        <v>-12334.741</v>
      </c>
      <c r="P260" s="36" t="n">
        <v/>
      </c>
      <c r="Q260" s="36" t="n">
        <v>305.173</v>
      </c>
      <c r="R260" s="36" t="n">
        <v>242142.585</v>
      </c>
      <c r="S260" s="36" t="n">
        <v>202066.369</v>
      </c>
      <c r="T260" s="36" t="n">
        <v>40076.216</v>
      </c>
      <c r="U260" s="36" t="n">
        <v>-387.344</v>
      </c>
      <c r="V260" s="36" t="n">
        <v>-387.31</v>
      </c>
      <c r="W260" s="36" t="n">
        <v>0.034</v>
      </c>
    </row>
    <row r="261">
      <c r="A261" s="37" t="inlineStr">
        <is>
          <t>2016-05</t>
        </is>
      </c>
      <c r="B261" s="37" t="n">
        <v>2016</v>
      </c>
      <c r="C261" s="37" t="n">
        <v>5</v>
      </c>
      <c r="D261" s="38" t="n">
        <v>4610.701</v>
      </c>
      <c r="E261" s="38" t="n">
        <v>13865.283</v>
      </c>
      <c r="F261" s="38" t="n">
        <v>-18402.897</v>
      </c>
      <c r="G261" s="38" t="n">
        <v>-42906.598</v>
      </c>
      <c r="H261" s="38" t="n">
        <v>24503.701</v>
      </c>
      <c r="I261" s="38" t="n">
        <v>-6213.62</v>
      </c>
      <c r="J261" s="38" t="n">
        <v/>
      </c>
      <c r="K261" s="38" t="n">
        <v/>
      </c>
      <c r="L261" s="38" t="n">
        <v/>
      </c>
      <c r="M261" s="38" t="n">
        <v/>
      </c>
      <c r="N261" s="38" t="n">
        <v>-0.005</v>
      </c>
      <c r="O261" s="38" t="n">
        <v>3053.893</v>
      </c>
      <c r="P261" s="38" t="n">
        <v/>
      </c>
      <c r="Q261" s="38" t="n">
        <v>909.6799999999999</v>
      </c>
      <c r="R261" s="38" t="n">
        <v>239965.619</v>
      </c>
      <c r="S261" s="38" t="n">
        <v>202463.099</v>
      </c>
      <c r="T261" s="38" t="n">
        <v>37502.52</v>
      </c>
      <c r="U261" s="38" t="n">
        <v>-2176.966</v>
      </c>
      <c r="V261" s="38" t="n">
        <v>-2176.965</v>
      </c>
      <c r="W261" s="38" t="n">
        <v>0.001</v>
      </c>
    </row>
    <row r="262">
      <c r="A262" s="35" t="inlineStr">
        <is>
          <t>2016-06</t>
        </is>
      </c>
      <c r="B262" s="35" t="n">
        <v>2016</v>
      </c>
      <c r="C262" s="35" t="n">
        <v>6</v>
      </c>
      <c r="D262" s="36" t="n">
        <v>14928.374</v>
      </c>
      <c r="E262" s="36" t="n">
        <v>-2601.57</v>
      </c>
      <c r="F262" s="36" t="n">
        <v>7551.212</v>
      </c>
      <c r="G262" s="36" t="n">
        <v>-57012.858</v>
      </c>
      <c r="H262" s="36" t="n">
        <v>64564.07</v>
      </c>
      <c r="I262" s="36" t="n">
        <v>-2513.764</v>
      </c>
      <c r="J262" s="36" t="n">
        <v/>
      </c>
      <c r="K262" s="36" t="n">
        <v/>
      </c>
      <c r="L262" s="36" t="n">
        <v/>
      </c>
      <c r="M262" s="36" t="n">
        <v/>
      </c>
      <c r="N262" s="36" t="n">
        <v>-0.117</v>
      </c>
      <c r="O262" s="36" t="n">
        <v>-22736.895</v>
      </c>
      <c r="P262" s="36" t="n">
        <v/>
      </c>
      <c r="Q262" s="36" t="n">
        <v>85.255</v>
      </c>
      <c r="R262" s="36" t="n">
        <v>234678.114</v>
      </c>
      <c r="S262" s="36" t="n">
        <v>201406.919</v>
      </c>
      <c r="T262" s="36" t="n">
        <v>33271.195</v>
      </c>
      <c r="U262" s="36" t="n">
        <v>-5287.505</v>
      </c>
      <c r="V262" s="36" t="n">
        <v>-5287.505</v>
      </c>
      <c r="W262" s="36" t="n">
        <v>0</v>
      </c>
    </row>
    <row r="263">
      <c r="A263" s="37" t="inlineStr">
        <is>
          <t>2016-07</t>
        </is>
      </c>
      <c r="B263" s="37" t="n">
        <v>2016</v>
      </c>
      <c r="C263" s="37" t="n">
        <v>7</v>
      </c>
      <c r="D263" s="38" t="n">
        <v>30176.217</v>
      </c>
      <c r="E263" s="38" t="n">
        <v>19234.403</v>
      </c>
      <c r="F263" s="38" t="n">
        <v>-48445.78</v>
      </c>
      <c r="G263" s="38" t="n">
        <v>33069.913</v>
      </c>
      <c r="H263" s="38" t="n">
        <v>-81515.693</v>
      </c>
      <c r="I263" s="38" t="n">
        <v>1919.525</v>
      </c>
      <c r="J263" s="38" t="n">
        <v/>
      </c>
      <c r="K263" s="38" t="n">
        <v/>
      </c>
      <c r="L263" s="38" t="n">
        <v/>
      </c>
      <c r="M263" s="38" t="n">
        <v/>
      </c>
      <c r="N263" s="38" t="n">
        <v>293.026</v>
      </c>
      <c r="O263" s="38" t="n">
        <v>1776.664</v>
      </c>
      <c r="P263" s="38" t="n">
        <v/>
      </c>
      <c r="Q263" s="38" t="n">
        <v>1213.167</v>
      </c>
      <c r="R263" s="38" t="n">
        <v>240845.334</v>
      </c>
      <c r="S263" s="38" t="n">
        <v>202192.048</v>
      </c>
      <c r="T263" s="38" t="n">
        <v>38653.286</v>
      </c>
      <c r="U263" s="38" t="n">
        <v>6167.22</v>
      </c>
      <c r="V263" s="38" t="n">
        <v>6167.222</v>
      </c>
      <c r="W263" s="38" t="n">
        <v>0.002</v>
      </c>
    </row>
    <row r="264">
      <c r="A264" s="35" t="inlineStr">
        <is>
          <t>2016-08</t>
        </is>
      </c>
      <c r="B264" s="35" t="n">
        <v>2016</v>
      </c>
      <c r="C264" s="35" t="n">
        <v>8</v>
      </c>
      <c r="D264" s="36" t="n">
        <v>5463.931</v>
      </c>
      <c r="E264" s="36" t="n">
        <v>4267.992</v>
      </c>
      <c r="F264" s="36" t="n">
        <v>-5840.097</v>
      </c>
      <c r="G264" s="36" t="n">
        <v>34805.144</v>
      </c>
      <c r="H264" s="36" t="n">
        <v>-40645.241</v>
      </c>
      <c r="I264" s="36" t="n">
        <v>-5099.524</v>
      </c>
      <c r="J264" s="36" t="n">
        <v/>
      </c>
      <c r="K264" s="36" t="n">
        <v/>
      </c>
      <c r="L264" s="36" t="n">
        <v/>
      </c>
      <c r="M264" s="36" t="n">
        <v/>
      </c>
      <c r="N264" s="36" t="n">
        <v>-295.782</v>
      </c>
      <c r="O264" s="36" t="n">
        <v>-4250.273</v>
      </c>
      <c r="P264" s="36" t="n">
        <v/>
      </c>
      <c r="Q264" s="36" t="n">
        <v>677.116</v>
      </c>
      <c r="R264" s="36" t="n">
        <v>235768.695</v>
      </c>
      <c r="S264" s="36" t="n">
        <v>202032.992</v>
      </c>
      <c r="T264" s="36" t="n">
        <v>33735.703</v>
      </c>
      <c r="U264" s="36" t="n">
        <v>-5076.639</v>
      </c>
      <c r="V264" s="36" t="n">
        <v>-5076.637</v>
      </c>
      <c r="W264" s="36" t="n">
        <v>0.002</v>
      </c>
    </row>
    <row r="265">
      <c r="A265" s="37" t="inlineStr">
        <is>
          <t>2016-09</t>
        </is>
      </c>
      <c r="B265" s="37" t="n">
        <v>2016</v>
      </c>
      <c r="C265" s="37" t="n">
        <v>9</v>
      </c>
      <c r="D265" s="38" t="n">
        <v>23157.623</v>
      </c>
      <c r="E265" s="38" t="n">
        <v>1727.565</v>
      </c>
      <c r="F265" s="38" t="n">
        <v>-10645.63</v>
      </c>
      <c r="G265" s="38" t="n">
        <v>-60965.938</v>
      </c>
      <c r="H265" s="38" t="n">
        <v>50320.308</v>
      </c>
      <c r="I265" s="38" t="n">
        <v>-2288.417</v>
      </c>
      <c r="J265" s="38" t="n">
        <v/>
      </c>
      <c r="K265" s="38" t="n">
        <v/>
      </c>
      <c r="L265" s="38" t="n">
        <v/>
      </c>
      <c r="M265" s="38" t="n">
        <v/>
      </c>
      <c r="N265" s="38" t="n">
        <v>7.509</v>
      </c>
      <c r="O265" s="38" t="n">
        <v>-1117.83</v>
      </c>
      <c r="P265" s="38" t="n">
        <v/>
      </c>
      <c r="Q265" s="38" t="n">
        <v>426.44</v>
      </c>
      <c r="R265" s="38" t="n">
        <v>247035.954</v>
      </c>
      <c r="S265" s="38" t="n">
        <v>209290.951</v>
      </c>
      <c r="T265" s="38" t="n">
        <v>37745.003</v>
      </c>
      <c r="U265" s="38" t="n">
        <v>11267.259</v>
      </c>
      <c r="V265" s="38" t="n">
        <v>11267.26</v>
      </c>
      <c r="W265" s="38" t="n">
        <v>0.001</v>
      </c>
    </row>
    <row r="266">
      <c r="A266" s="35" t="inlineStr">
        <is>
          <t>2016-10</t>
        </is>
      </c>
      <c r="B266" s="35" t="n">
        <v>2016</v>
      </c>
      <c r="C266" s="35" t="n">
        <v>10</v>
      </c>
      <c r="D266" s="36" t="n">
        <v>-34186.545</v>
      </c>
      <c r="E266" s="36" t="n">
        <v>-1174.604</v>
      </c>
      <c r="F266" s="36" t="n">
        <v>35156.322</v>
      </c>
      <c r="G266" s="36" t="n">
        <v>36831.99</v>
      </c>
      <c r="H266" s="36" t="n">
        <v>-1675.668</v>
      </c>
      <c r="I266" s="36" t="n">
        <v>2740.448</v>
      </c>
      <c r="J266" s="36" t="n">
        <v/>
      </c>
      <c r="K266" s="36" t="n">
        <v/>
      </c>
      <c r="L266" s="36" t="n">
        <v/>
      </c>
      <c r="M266" s="36" t="n">
        <v/>
      </c>
      <c r="N266" s="36" t="n">
        <v>-7.515</v>
      </c>
      <c r="O266" s="36" t="n">
        <v>-2389.528</v>
      </c>
      <c r="P266" s="36" t="n">
        <v/>
      </c>
      <c r="Q266" s="36" t="n">
        <v>671.014</v>
      </c>
      <c r="R266" s="36" t="n">
        <v>247845.546</v>
      </c>
      <c r="S266" s="36" t="n">
        <v>209213.988</v>
      </c>
      <c r="T266" s="36" t="n">
        <v>38631.559</v>
      </c>
      <c r="U266" s="36" t="n">
        <v>809.592</v>
      </c>
      <c r="V266" s="36" t="n">
        <v>809.592</v>
      </c>
      <c r="W266" s="36" t="n">
        <v>0</v>
      </c>
    </row>
    <row r="267">
      <c r="A267" s="37" t="inlineStr">
        <is>
          <t>2016-11</t>
        </is>
      </c>
      <c r="B267" s="37" t="n">
        <v>2016</v>
      </c>
      <c r="C267" s="37" t="n">
        <v>11</v>
      </c>
      <c r="D267" s="38" t="n">
        <v>20300.803</v>
      </c>
      <c r="E267" s="38" t="n">
        <v>2909.567</v>
      </c>
      <c r="F267" s="38" t="n">
        <v>-30241.544</v>
      </c>
      <c r="G267" s="38" t="n">
        <v>-23564.804</v>
      </c>
      <c r="H267" s="38" t="n">
        <v>-6676.74</v>
      </c>
      <c r="I267" s="38" t="n">
        <v>-915.15</v>
      </c>
      <c r="J267" s="38" t="n">
        <v/>
      </c>
      <c r="K267" s="38" t="n">
        <v/>
      </c>
      <c r="L267" s="38" t="n">
        <v/>
      </c>
      <c r="M267" s="38" t="n">
        <v/>
      </c>
      <c r="N267" s="38" t="n">
        <v>-0.008</v>
      </c>
      <c r="O267" s="38" t="n">
        <v>3939.73</v>
      </c>
      <c r="P267" s="38" t="n">
        <v/>
      </c>
      <c r="Q267" s="38" t="n">
        <v>1081.045</v>
      </c>
      <c r="R267" s="38" t="n">
        <v>244919.983</v>
      </c>
      <c r="S267" s="38" t="n">
        <v>210046.637</v>
      </c>
      <c r="T267" s="38" t="n">
        <v>34873.346</v>
      </c>
      <c r="U267" s="38" t="n">
        <v>-2925.563</v>
      </c>
      <c r="V267" s="38" t="n">
        <v>-2925.557</v>
      </c>
      <c r="W267" s="38" t="n">
        <v>0.006</v>
      </c>
    </row>
    <row r="268">
      <c r="A268" s="35" t="inlineStr">
        <is>
          <t>2016-12</t>
        </is>
      </c>
      <c r="B268" s="35" t="n">
        <v>2016</v>
      </c>
      <c r="C268" s="35" t="n">
        <v>12</v>
      </c>
      <c r="D268" s="36" t="n">
        <v>-52397.634</v>
      </c>
      <c r="E268" s="36" t="n">
        <v>352.478</v>
      </c>
      <c r="F268" s="36" t="n">
        <v>79414.034</v>
      </c>
      <c r="G268" s="36" t="n">
        <v>7559.278</v>
      </c>
      <c r="H268" s="36" t="n">
        <v>71854.75599999999</v>
      </c>
      <c r="I268" s="36" t="n">
        <v>1612.164</v>
      </c>
      <c r="J268" s="36" t="n">
        <v/>
      </c>
      <c r="K268" s="36" t="n">
        <v/>
      </c>
      <c r="L268" s="36" t="n">
        <v/>
      </c>
      <c r="M268" s="36" t="n">
        <v/>
      </c>
      <c r="N268" s="36" t="n">
        <v>-0.027</v>
      </c>
      <c r="O268" s="36" t="n">
        <v>-3858.12</v>
      </c>
      <c r="P268" s="36" t="n">
        <v/>
      </c>
      <c r="Q268" s="36" t="n">
        <v>244.327</v>
      </c>
      <c r="R268" s="36" t="n">
        <v>270287.146</v>
      </c>
      <c r="S268" s="36" t="n">
        <v>232145.593</v>
      </c>
      <c r="T268" s="36" t="n">
        <v>38141.553</v>
      </c>
      <c r="U268" s="36" t="n">
        <v>25367.163</v>
      </c>
      <c r="V268" s="36" t="n">
        <v>25367.222</v>
      </c>
      <c r="W268" s="36" t="n">
        <v>0.059</v>
      </c>
    </row>
    <row r="269">
      <c r="A269" s="37" t="inlineStr">
        <is>
          <t>2017-01</t>
        </is>
      </c>
      <c r="B269" s="37" t="n">
        <v>2017</v>
      </c>
      <c r="C269" s="37" t="n">
        <v>1</v>
      </c>
      <c r="D269" s="38" t="n">
        <v>8140.048</v>
      </c>
      <c r="E269" s="38" t="n">
        <v>266.952</v>
      </c>
      <c r="F269" s="38" t="n">
        <v>-6429.189</v>
      </c>
      <c r="G269" s="38" t="n">
        <v>80425.14200000001</v>
      </c>
      <c r="H269" s="38" t="n">
        <v>-86854.33100000001</v>
      </c>
      <c r="I269" s="38" t="n">
        <v>-5751.559</v>
      </c>
      <c r="J269" s="38" t="n">
        <v/>
      </c>
      <c r="K269" s="38" t="n">
        <v/>
      </c>
      <c r="L269" s="38" t="n">
        <v/>
      </c>
      <c r="M269" s="38" t="n">
        <v/>
      </c>
      <c r="N269" s="38" t="n">
        <v>-0.027</v>
      </c>
      <c r="O269" s="38" t="n">
        <v>-5115.742</v>
      </c>
      <c r="P269" s="38" t="n">
        <v/>
      </c>
      <c r="Q269" s="38" t="n">
        <v>994.582</v>
      </c>
      <c r="R269" s="38" t="n">
        <v>262392.204</v>
      </c>
      <c r="S269" s="38" t="n">
        <v>212760.315</v>
      </c>
      <c r="T269" s="38" t="n">
        <v>49631.889</v>
      </c>
      <c r="U269" s="38" t="n">
        <v>-7894.942</v>
      </c>
      <c r="V269" s="38" t="n">
        <v>-7894.935</v>
      </c>
      <c r="W269" s="38" t="n">
        <v>0.007</v>
      </c>
    </row>
    <row r="270">
      <c r="A270" s="35" t="inlineStr">
        <is>
          <t>2017-02</t>
        </is>
      </c>
      <c r="B270" s="35" t="n">
        <v>2017</v>
      </c>
      <c r="C270" s="35" t="n">
        <v>2</v>
      </c>
      <c r="D270" s="36" t="n">
        <v>17232.621</v>
      </c>
      <c r="E270" s="36" t="n">
        <v>3166.88</v>
      </c>
      <c r="F270" s="36" t="n">
        <v>-17044.322</v>
      </c>
      <c r="G270" s="36" t="n">
        <v>-56595.002</v>
      </c>
      <c r="H270" s="36" t="n">
        <v>39550.68</v>
      </c>
      <c r="I270" s="36" t="n">
        <v>1890.545</v>
      </c>
      <c r="J270" s="36" t="n">
        <v/>
      </c>
      <c r="K270" s="36" t="n">
        <v/>
      </c>
      <c r="L270" s="36" t="n">
        <v/>
      </c>
      <c r="M270" s="36" t="n">
        <v/>
      </c>
      <c r="N270" s="36" t="n">
        <v>-0.004</v>
      </c>
      <c r="O270" s="36" t="n">
        <v>-2101.985</v>
      </c>
      <c r="P270" s="36" t="n">
        <v/>
      </c>
      <c r="Q270" s="36" t="n">
        <v>789.056</v>
      </c>
      <c r="R270" s="36" t="n">
        <v>266324.996</v>
      </c>
      <c r="S270" s="36" t="n">
        <v>217874.918</v>
      </c>
      <c r="T270" s="36" t="n">
        <v>48450.078</v>
      </c>
      <c r="U270" s="36" t="n">
        <v>3932.792</v>
      </c>
      <c r="V270" s="36" t="n">
        <v>3932.791</v>
      </c>
      <c r="W270" s="36" t="n">
        <v>-0.001</v>
      </c>
    </row>
    <row r="271">
      <c r="A271" s="37" t="inlineStr">
        <is>
          <t>2017-03</t>
        </is>
      </c>
      <c r="B271" s="37" t="n">
        <v>2017</v>
      </c>
      <c r="C271" s="37" t="n">
        <v>3</v>
      </c>
      <c r="D271" s="38" t="n">
        <v>-3323.002</v>
      </c>
      <c r="E271" s="38" t="n">
        <v>4076.005</v>
      </c>
      <c r="F271" s="38" t="n">
        <v>-23877.446</v>
      </c>
      <c r="G271" s="38" t="n">
        <v>-60971.777</v>
      </c>
      <c r="H271" s="38" t="n">
        <v>37094.331</v>
      </c>
      <c r="I271" s="38" t="n">
        <v>-1413.138</v>
      </c>
      <c r="J271" s="38" t="n">
        <v/>
      </c>
      <c r="K271" s="38" t="n">
        <v/>
      </c>
      <c r="L271" s="38" t="n">
        <v/>
      </c>
      <c r="M271" s="38" t="n">
        <v/>
      </c>
      <c r="N271" s="38" t="n">
        <v>-0.03</v>
      </c>
      <c r="O271" s="38" t="n">
        <v>1240.474</v>
      </c>
      <c r="P271" s="38" t="n">
        <v/>
      </c>
      <c r="Q271" s="38" t="n">
        <v>582.494</v>
      </c>
      <c r="R271" s="38" t="n">
        <v>243610.35</v>
      </c>
      <c r="S271" s="38" t="n">
        <v>208947.637</v>
      </c>
      <c r="T271" s="38" t="n">
        <v>34662.713</v>
      </c>
      <c r="U271" s="38" t="n">
        <v>-22714.646</v>
      </c>
      <c r="V271" s="38" t="n">
        <v>-22714.643</v>
      </c>
      <c r="W271" s="38" t="n">
        <v>0.003</v>
      </c>
    </row>
    <row r="272">
      <c r="A272" s="35" t="inlineStr">
        <is>
          <t>2017-04</t>
        </is>
      </c>
      <c r="B272" s="35" t="n">
        <v>2017</v>
      </c>
      <c r="C272" s="35" t="n">
        <v>4</v>
      </c>
      <c r="D272" s="36" t="n">
        <v>-8792.441999999999</v>
      </c>
      <c r="E272" s="36" t="n">
        <v>13260.365</v>
      </c>
      <c r="F272" s="36" t="n">
        <v>13436.28</v>
      </c>
      <c r="G272" s="36" t="n">
        <v>12665.82</v>
      </c>
      <c r="H272" s="36" t="n">
        <v>770.46</v>
      </c>
      <c r="I272" s="36" t="n">
        <v>1258.039</v>
      </c>
      <c r="J272" s="36" t="n">
        <v/>
      </c>
      <c r="K272" s="36" t="n">
        <v/>
      </c>
      <c r="L272" s="36" t="n">
        <v/>
      </c>
      <c r="M272" s="36" t="n">
        <v/>
      </c>
      <c r="N272" s="36" t="n">
        <v>0</v>
      </c>
      <c r="O272" s="36" t="n">
        <v>558.46</v>
      </c>
      <c r="P272" s="36" t="n">
        <v/>
      </c>
      <c r="Q272" s="36" t="n">
        <v>323.482</v>
      </c>
      <c r="R272" s="36" t="n">
        <v>263654.534</v>
      </c>
      <c r="S272" s="36" t="n">
        <v>214125.862</v>
      </c>
      <c r="T272" s="36" t="n">
        <v>49528.672</v>
      </c>
      <c r="U272" s="36" t="n">
        <v>20044.184</v>
      </c>
      <c r="V272" s="36" t="n">
        <v>20044.184</v>
      </c>
      <c r="W272" s="36" t="n">
        <v>0</v>
      </c>
    </row>
    <row r="273">
      <c r="A273" s="37" t="inlineStr">
        <is>
          <t>2017-05</t>
        </is>
      </c>
      <c r="B273" s="37" t="n">
        <v>2017</v>
      </c>
      <c r="C273" s="37" t="n">
        <v>5</v>
      </c>
      <c r="D273" s="38" t="n">
        <v>17127.169</v>
      </c>
      <c r="E273" s="38" t="n">
        <v>773.96</v>
      </c>
      <c r="F273" s="38" t="n">
        <v>-39845.062</v>
      </c>
      <c r="G273" s="38" t="n">
        <v>21240.728</v>
      </c>
      <c r="H273" s="38" t="n">
        <v>-61085.79</v>
      </c>
      <c r="I273" s="38" t="n">
        <v>-3841.184</v>
      </c>
      <c r="J273" s="38" t="n">
        <v/>
      </c>
      <c r="K273" s="38" t="n">
        <v/>
      </c>
      <c r="L273" s="38" t="n">
        <v/>
      </c>
      <c r="M273" s="38" t="n">
        <v/>
      </c>
      <c r="N273" s="38" t="n">
        <v>-0.046</v>
      </c>
      <c r="O273" s="38" t="n">
        <v>614.061</v>
      </c>
      <c r="P273" s="38" t="n">
        <v/>
      </c>
      <c r="Q273" s="38" t="n">
        <v>-831.9059999999999</v>
      </c>
      <c r="R273" s="38" t="n">
        <v>237651.513</v>
      </c>
      <c r="S273" s="38" t="n">
        <v>210464.623</v>
      </c>
      <c r="T273" s="38" t="n">
        <v>27186.891</v>
      </c>
      <c r="U273" s="38" t="n">
        <v>-26003.021</v>
      </c>
      <c r="V273" s="38" t="n">
        <v>-26003.008</v>
      </c>
      <c r="W273" s="38" t="n">
        <v>0.013</v>
      </c>
    </row>
    <row r="274">
      <c r="A274" s="35" t="inlineStr">
        <is>
          <t>2017-06</t>
        </is>
      </c>
      <c r="B274" s="35" t="n">
        <v>2017</v>
      </c>
      <c r="C274" s="35" t="n">
        <v>6</v>
      </c>
      <c r="D274" s="36" t="n">
        <v>18576.819</v>
      </c>
      <c r="E274" s="36" t="n">
        <v>218.863</v>
      </c>
      <c r="F274" s="36" t="n">
        <v>4814.989</v>
      </c>
      <c r="G274" s="36" t="n">
        <v>-71146.893</v>
      </c>
      <c r="H274" s="36" t="n">
        <v>75961.882</v>
      </c>
      <c r="I274" s="36" t="n">
        <v>-2264.485</v>
      </c>
      <c r="J274" s="36" t="n">
        <v/>
      </c>
      <c r="K274" s="36" t="n">
        <v/>
      </c>
      <c r="L274" s="36" t="n">
        <v/>
      </c>
      <c r="M274" s="36" t="n">
        <v/>
      </c>
      <c r="N274" s="36" t="n">
        <v>-0.051</v>
      </c>
      <c r="O274" s="36" t="n">
        <v>545.601</v>
      </c>
      <c r="P274" s="36" t="n">
        <v/>
      </c>
      <c r="Q274" s="36" t="n">
        <v>695.721</v>
      </c>
      <c r="R274" s="36" t="n">
        <v>260238.97</v>
      </c>
      <c r="S274" s="36" t="n">
        <v>213569.522</v>
      </c>
      <c r="T274" s="36" t="n">
        <v>46669.449</v>
      </c>
      <c r="U274" s="36" t="n">
        <v>22587.457</v>
      </c>
      <c r="V274" s="36" t="n">
        <v>22587.457</v>
      </c>
      <c r="W274" s="36" t="n">
        <v>0</v>
      </c>
    </row>
    <row r="275">
      <c r="A275" s="37" t="inlineStr">
        <is>
          <t>2017-07</t>
        </is>
      </c>
      <c r="B275" s="37" t="n">
        <v>2017</v>
      </c>
      <c r="C275" s="37" t="n">
        <v>7</v>
      </c>
      <c r="D275" s="38" t="n">
        <v>27747.274</v>
      </c>
      <c r="E275" s="38" t="n">
        <v>4394.038</v>
      </c>
      <c r="F275" s="38" t="n">
        <v>-32460.57</v>
      </c>
      <c r="G275" s="38" t="n">
        <v>38274.001</v>
      </c>
      <c r="H275" s="38" t="n">
        <v>-70734.571</v>
      </c>
      <c r="I275" s="38" t="n">
        <v>5164.745</v>
      </c>
      <c r="J275" s="38" t="n">
        <v/>
      </c>
      <c r="K275" s="38" t="n">
        <v/>
      </c>
      <c r="L275" s="38" t="n">
        <v/>
      </c>
      <c r="M275" s="38" t="n">
        <v/>
      </c>
      <c r="N275" s="38" t="n">
        <v>0</v>
      </c>
      <c r="O275" s="38" t="n">
        <v>-5072.296</v>
      </c>
      <c r="P275" s="38" t="n">
        <v/>
      </c>
      <c r="Q275" s="38" t="n">
        <v>-4151.902</v>
      </c>
      <c r="R275" s="38" t="n">
        <v>255860.258</v>
      </c>
      <c r="S275" s="38" t="n">
        <v>215271.559</v>
      </c>
      <c r="T275" s="38" t="n">
        <v>40588.699</v>
      </c>
      <c r="U275" s="38" t="n">
        <v>-4378.712</v>
      </c>
      <c r="V275" s="38" t="n">
        <v>-4378.711</v>
      </c>
      <c r="W275" s="38" t="n">
        <v>0.001</v>
      </c>
    </row>
    <row r="276">
      <c r="A276" s="35" t="inlineStr">
        <is>
          <t>2017-08</t>
        </is>
      </c>
      <c r="B276" s="35" t="n">
        <v>2017</v>
      </c>
      <c r="C276" s="35" t="n">
        <v>8</v>
      </c>
      <c r="D276" s="36" t="n">
        <v>3761.593</v>
      </c>
      <c r="E276" s="36" t="n">
        <v>327.463</v>
      </c>
      <c r="F276" s="36" t="n">
        <v>-7201.466</v>
      </c>
      <c r="G276" s="36" t="n">
        <v>-36199.452</v>
      </c>
      <c r="H276" s="36" t="n">
        <v>28997.986</v>
      </c>
      <c r="I276" s="36" t="n">
        <v>-5368.448</v>
      </c>
      <c r="J276" s="36" t="n">
        <v/>
      </c>
      <c r="K276" s="36" t="n">
        <v/>
      </c>
      <c r="L276" s="36" t="n">
        <v/>
      </c>
      <c r="M276" s="36" t="n">
        <v/>
      </c>
      <c r="N276" s="36" t="n">
        <v>0</v>
      </c>
      <c r="O276" s="36" t="n">
        <v>29.684</v>
      </c>
      <c r="P276" s="36" t="n">
        <v/>
      </c>
      <c r="Q276" s="36" t="n">
        <v>4751.226</v>
      </c>
      <c r="R276" s="36" t="n">
        <v>252160.311</v>
      </c>
      <c r="S276" s="36" t="n">
        <v>213951.154</v>
      </c>
      <c r="T276" s="36" t="n">
        <v>38209.157</v>
      </c>
      <c r="U276" s="36" t="n">
        <v>-3699.947</v>
      </c>
      <c r="V276" s="36" t="n">
        <v>-3699.948</v>
      </c>
      <c r="W276" s="36" t="n">
        <v>-0.001</v>
      </c>
    </row>
    <row r="277">
      <c r="A277" s="37" t="inlineStr">
        <is>
          <t>2017-09</t>
        </is>
      </c>
      <c r="B277" s="37" t="n">
        <v>2017</v>
      </c>
      <c r="C277" s="37" t="n">
        <v>9</v>
      </c>
      <c r="D277" s="38" t="n">
        <v>-7674.008</v>
      </c>
      <c r="E277" s="38" t="n">
        <v>248.595</v>
      </c>
      <c r="F277" s="38" t="n">
        <v>16834.681</v>
      </c>
      <c r="G277" s="38" t="n">
        <v>-635.045</v>
      </c>
      <c r="H277" s="38" t="n">
        <v>17469.726</v>
      </c>
      <c r="I277" s="38" t="n">
        <v>276.876</v>
      </c>
      <c r="J277" s="38" t="n">
        <v/>
      </c>
      <c r="K277" s="38" t="n">
        <v/>
      </c>
      <c r="L277" s="38" t="n">
        <v/>
      </c>
      <c r="M277" s="38" t="n">
        <v/>
      </c>
      <c r="N277" s="38" t="n">
        <v>-0.001</v>
      </c>
      <c r="O277" s="38" t="n">
        <v>188.351</v>
      </c>
      <c r="P277" s="38" t="n">
        <v/>
      </c>
      <c r="Q277" s="38" t="n">
        <v>735.5170000000001</v>
      </c>
      <c r="R277" s="38" t="n">
        <v>262770.311</v>
      </c>
      <c r="S277" s="38" t="n">
        <v>218720.929</v>
      </c>
      <c r="T277" s="38" t="n">
        <v>44049.382</v>
      </c>
      <c r="U277" s="38" t="n">
        <v>10610</v>
      </c>
      <c r="V277" s="38" t="n">
        <v>10610.011</v>
      </c>
      <c r="W277" s="38" t="n">
        <v>0.011</v>
      </c>
    </row>
    <row r="278">
      <c r="A278" s="35" t="inlineStr">
        <is>
          <t>2017-10</t>
        </is>
      </c>
      <c r="B278" s="35" t="n">
        <v>2017</v>
      </c>
      <c r="C278" s="35" t="n">
        <v>10</v>
      </c>
      <c r="D278" s="36" t="n">
        <v>-14210.935</v>
      </c>
      <c r="E278" s="36" t="n">
        <v>339.841</v>
      </c>
      <c r="F278" s="36" t="n">
        <v>1960.349</v>
      </c>
      <c r="G278" s="36" t="n">
        <v>24732.475</v>
      </c>
      <c r="H278" s="36" t="n">
        <v>-22772.126</v>
      </c>
      <c r="I278" s="36" t="n">
        <v>874.922</v>
      </c>
      <c r="J278" s="36" t="n">
        <v/>
      </c>
      <c r="K278" s="36" t="n">
        <v/>
      </c>
      <c r="L278" s="36" t="n">
        <v/>
      </c>
      <c r="M278" s="36" t="n">
        <v/>
      </c>
      <c r="N278" s="36" t="n">
        <v>-0.004</v>
      </c>
      <c r="O278" s="36" t="n">
        <v>1799.059</v>
      </c>
      <c r="P278" s="36" t="n">
        <v/>
      </c>
      <c r="Q278" s="36" t="n">
        <v>919.833</v>
      </c>
      <c r="R278" s="36" t="n">
        <v>254453.34</v>
      </c>
      <c r="S278" s="36" t="n">
        <v>219653.157</v>
      </c>
      <c r="T278" s="36" t="n">
        <v>34800.183</v>
      </c>
      <c r="U278" s="36" t="n">
        <v>-8316.971</v>
      </c>
      <c r="V278" s="36" t="n">
        <v>-8316.934999999999</v>
      </c>
      <c r="W278" s="36" t="n">
        <v>0.036</v>
      </c>
    </row>
    <row r="279">
      <c r="A279" s="37" t="inlineStr">
        <is>
          <t>2017-11</t>
        </is>
      </c>
      <c r="B279" s="37" t="n">
        <v>2017</v>
      </c>
      <c r="C279" s="37" t="n">
        <v>11</v>
      </c>
      <c r="D279" s="38" t="n">
        <v>-13615.85</v>
      </c>
      <c r="E279" s="38" t="n">
        <v>350.794</v>
      </c>
      <c r="F279" s="38" t="n">
        <v>17769.597</v>
      </c>
      <c r="G279" s="38" t="n">
        <v>-32273.725</v>
      </c>
      <c r="H279" s="38" t="n">
        <v>50043.322</v>
      </c>
      <c r="I279" s="38" t="n">
        <v>5270.376</v>
      </c>
      <c r="J279" s="38" t="n">
        <v/>
      </c>
      <c r="K279" s="38" t="n">
        <v/>
      </c>
      <c r="L279" s="38" t="n">
        <v/>
      </c>
      <c r="M279" s="38" t="n">
        <v/>
      </c>
      <c r="N279" s="38" t="n">
        <v>8.901999999999999</v>
      </c>
      <c r="O279" s="38" t="n">
        <v>-1161.383</v>
      </c>
      <c r="P279" s="38" t="n">
        <v/>
      </c>
      <c r="Q279" s="38" t="n">
        <v>1144.029</v>
      </c>
      <c r="R279" s="38" t="n">
        <v>264219.805</v>
      </c>
      <c r="S279" s="38" t="n">
        <v>223157.435</v>
      </c>
      <c r="T279" s="38" t="n">
        <v>41062.37</v>
      </c>
      <c r="U279" s="38" t="n">
        <v>9766.465</v>
      </c>
      <c r="V279" s="38" t="n">
        <v>9766.465</v>
      </c>
      <c r="W279" s="38" t="n">
        <v>0</v>
      </c>
    </row>
    <row r="280">
      <c r="A280" s="35" t="inlineStr">
        <is>
          <t>2017-12</t>
        </is>
      </c>
      <c r="B280" s="35" t="n">
        <v>2017</v>
      </c>
      <c r="C280" s="35" t="n">
        <v>12</v>
      </c>
      <c r="D280" s="36" t="n">
        <v>7163.59</v>
      </c>
      <c r="E280" s="36" t="n">
        <v>-26027.013</v>
      </c>
      <c r="F280" s="36" t="n">
        <v>45249.193</v>
      </c>
      <c r="G280" s="36" t="n">
        <v>-30684.804</v>
      </c>
      <c r="H280" s="36" t="n">
        <v>75933.997</v>
      </c>
      <c r="I280" s="36" t="n">
        <v>4770.938</v>
      </c>
      <c r="J280" s="36" t="n">
        <v/>
      </c>
      <c r="K280" s="36" t="n">
        <v/>
      </c>
      <c r="L280" s="36" t="n">
        <v/>
      </c>
      <c r="M280" s="36" t="n">
        <v/>
      </c>
      <c r="N280" s="36" t="n">
        <v>-8.92</v>
      </c>
      <c r="O280" s="36" t="n">
        <v>1443.181</v>
      </c>
      <c r="P280" s="36" t="n">
        <v/>
      </c>
      <c r="Q280" s="36" t="n">
        <v>-55.314</v>
      </c>
      <c r="R280" s="36" t="n">
        <v>296755.456</v>
      </c>
      <c r="S280" s="36" t="n">
        <v>250363.681</v>
      </c>
      <c r="T280" s="36" t="n">
        <v>46391.775</v>
      </c>
      <c r="U280" s="36" t="n">
        <v>32535.651</v>
      </c>
      <c r="V280" s="36" t="n">
        <v>32535.655</v>
      </c>
      <c r="W280" s="36" t="n">
        <v>0.004</v>
      </c>
    </row>
    <row r="281">
      <c r="A281" s="37" t="inlineStr">
        <is>
          <t>2018-01</t>
        </is>
      </c>
      <c r="B281" s="37" t="n">
        <v>2018</v>
      </c>
      <c r="C281" s="37" t="n">
        <v>1</v>
      </c>
      <c r="D281" s="38" t="n">
        <v>3102.082</v>
      </c>
      <c r="E281" s="38" t="n">
        <v>278.96</v>
      </c>
      <c r="F281" s="38" t="n">
        <v>-27650.083</v>
      </c>
      <c r="G281" s="38" t="n">
        <v>60392.533</v>
      </c>
      <c r="H281" s="38" t="n">
        <v>-88042.61599999999</v>
      </c>
      <c r="I281" s="38" t="n">
        <v>4942.325</v>
      </c>
      <c r="J281" s="38" t="n">
        <v/>
      </c>
      <c r="K281" s="38" t="n">
        <v/>
      </c>
      <c r="L281" s="38" t="n">
        <v/>
      </c>
      <c r="M281" s="38" t="n">
        <v/>
      </c>
      <c r="N281" s="38" t="n">
        <v>0</v>
      </c>
      <c r="O281" s="38" t="n">
        <v>-3329.458</v>
      </c>
      <c r="P281" s="38" t="n">
        <v/>
      </c>
      <c r="Q281" s="38" t="n">
        <v>-1703.169</v>
      </c>
      <c r="R281" s="38" t="n">
        <v>272396.111</v>
      </c>
      <c r="S281" s="38" t="n">
        <v>228438.63</v>
      </c>
      <c r="T281" s="38" t="n">
        <v>43957.48</v>
      </c>
      <c r="U281" s="38" t="n">
        <v>-24359.345</v>
      </c>
      <c r="V281" s="38" t="n">
        <v>-24359.343</v>
      </c>
      <c r="W281" s="38" t="n">
        <v>0.002</v>
      </c>
    </row>
    <row r="282">
      <c r="A282" s="35" t="inlineStr">
        <is>
          <t>2018-02</t>
        </is>
      </c>
      <c r="B282" s="35" t="n">
        <v>2018</v>
      </c>
      <c r="C282" s="35" t="n">
        <v>2</v>
      </c>
      <c r="D282" s="36" t="n">
        <v>-8619.112999999999</v>
      </c>
      <c r="E282" s="36" t="n">
        <v>10080.407</v>
      </c>
      <c r="F282" s="36" t="n">
        <v>-14856.705</v>
      </c>
      <c r="G282" s="36" t="n">
        <v>-28875.467</v>
      </c>
      <c r="H282" s="36" t="n">
        <v>14018.762</v>
      </c>
      <c r="I282" s="36" t="n">
        <v>3147.993</v>
      </c>
      <c r="J282" s="36" t="n">
        <v/>
      </c>
      <c r="K282" s="36" t="n">
        <v/>
      </c>
      <c r="L282" s="36" t="n">
        <v/>
      </c>
      <c r="M282" s="36" t="n">
        <v/>
      </c>
      <c r="N282" s="36" t="n">
        <v>3.797</v>
      </c>
      <c r="O282" s="36" t="n">
        <v>1295.791</v>
      </c>
      <c r="P282" s="36" t="n">
        <v/>
      </c>
      <c r="Q282" s="36" t="n">
        <v>1068.753</v>
      </c>
      <c r="R282" s="36" t="n">
        <v>264517.034</v>
      </c>
      <c r="S282" s="36" t="n">
        <v>225267.44</v>
      </c>
      <c r="T282" s="36" t="n">
        <v>39249.594</v>
      </c>
      <c r="U282" s="36" t="n">
        <v>-7879.077</v>
      </c>
      <c r="V282" s="36" t="n">
        <v>-7879.077</v>
      </c>
      <c r="W282" s="36" t="n">
        <v>0</v>
      </c>
    </row>
    <row r="283">
      <c r="A283" s="37" t="inlineStr">
        <is>
          <t>2018-03</t>
        </is>
      </c>
      <c r="B283" s="37" t="n">
        <v>2018</v>
      </c>
      <c r="C283" s="37" t="n">
        <v>3</v>
      </c>
      <c r="D283" s="38" t="n">
        <v>-13045.704</v>
      </c>
      <c r="E283" s="38" t="n">
        <v>5250.579</v>
      </c>
      <c r="F283" s="38" t="n">
        <v>14280.963</v>
      </c>
      <c r="G283" s="38" t="n">
        <v>-25176.54</v>
      </c>
      <c r="H283" s="38" t="n">
        <v>39457.503</v>
      </c>
      <c r="I283" s="38" t="n">
        <v>1031.899</v>
      </c>
      <c r="J283" s="38" t="n">
        <v/>
      </c>
      <c r="K283" s="38" t="n">
        <v/>
      </c>
      <c r="L283" s="38" t="n">
        <v/>
      </c>
      <c r="M283" s="38" t="n">
        <v/>
      </c>
      <c r="N283" s="38" t="n">
        <v>-3.799</v>
      </c>
      <c r="O283" s="38" t="n">
        <v>1888.467</v>
      </c>
      <c r="P283" s="38" t="n">
        <v/>
      </c>
      <c r="Q283" s="38" t="n">
        <v>1136.749</v>
      </c>
      <c r="R283" s="38" t="n">
        <v>275056.18</v>
      </c>
      <c r="S283" s="38" t="n">
        <v>224299.131</v>
      </c>
      <c r="T283" s="38" t="n">
        <v>50757.048</v>
      </c>
      <c r="U283" s="38" t="n">
        <v>10539.146</v>
      </c>
      <c r="V283" s="38" t="n">
        <v>10539.154</v>
      </c>
      <c r="W283" s="38" t="n">
        <v>0.008</v>
      </c>
    </row>
    <row r="284">
      <c r="A284" s="35" t="inlineStr">
        <is>
          <t>2018-04</t>
        </is>
      </c>
      <c r="B284" s="35" t="n">
        <v>2018</v>
      </c>
      <c r="C284" s="35" t="n">
        <v>4</v>
      </c>
      <c r="D284" s="36" t="n">
        <v>2618.044</v>
      </c>
      <c r="E284" s="36" t="n">
        <v>5298.645</v>
      </c>
      <c r="F284" s="36" t="n">
        <v>-14651.352</v>
      </c>
      <c r="G284" s="36" t="n">
        <v>6856.703</v>
      </c>
      <c r="H284" s="36" t="n">
        <v>-21508.055</v>
      </c>
      <c r="I284" s="36" t="n">
        <v>-6908.675</v>
      </c>
      <c r="J284" s="36" t="n">
        <v/>
      </c>
      <c r="K284" s="36" t="n">
        <v/>
      </c>
      <c r="L284" s="36" t="n">
        <v/>
      </c>
      <c r="M284" s="36" t="n">
        <v/>
      </c>
      <c r="N284" s="36" t="n">
        <v>0</v>
      </c>
      <c r="O284" s="36" t="n">
        <v>2612.657</v>
      </c>
      <c r="P284" s="36" t="n">
        <v/>
      </c>
      <c r="Q284" s="36" t="n">
        <v>-682.634</v>
      </c>
      <c r="R284" s="36" t="n">
        <v>263342.859</v>
      </c>
      <c r="S284" s="36" t="n">
        <v>223343.738</v>
      </c>
      <c r="T284" s="36" t="n">
        <v>39999.121</v>
      </c>
      <c r="U284" s="36" t="n">
        <v>-11713.321</v>
      </c>
      <c r="V284" s="36" t="n">
        <v>-11713.315</v>
      </c>
      <c r="W284" s="36" t="n">
        <v>0.006</v>
      </c>
    </row>
    <row r="285">
      <c r="A285" s="37" t="inlineStr">
        <is>
          <t>2018-05</t>
        </is>
      </c>
      <c r="B285" s="37" t="n">
        <v>2018</v>
      </c>
      <c r="C285" s="37" t="n">
        <v>5</v>
      </c>
      <c r="D285" s="38" t="n">
        <v>-4964.427</v>
      </c>
      <c r="E285" s="38" t="n">
        <v>6950.093</v>
      </c>
      <c r="F285" s="38" t="n">
        <v>-31288.996</v>
      </c>
      <c r="G285" s="38" t="n">
        <v>-19150.377</v>
      </c>
      <c r="H285" s="38" t="n">
        <v>-12138.619</v>
      </c>
      <c r="I285" s="38" t="n">
        <v>28050.776</v>
      </c>
      <c r="J285" s="38" t="n">
        <v/>
      </c>
      <c r="K285" s="38" t="n">
        <v/>
      </c>
      <c r="L285" s="38" t="n">
        <v/>
      </c>
      <c r="M285" s="38" t="n">
        <v/>
      </c>
      <c r="N285" s="38" t="n">
        <v>0</v>
      </c>
      <c r="O285" s="38" t="n">
        <v>6877.019</v>
      </c>
      <c r="P285" s="38" t="n">
        <v/>
      </c>
      <c r="Q285" s="38" t="n">
        <v>585.582</v>
      </c>
      <c r="R285" s="38" t="n">
        <v>269552.906</v>
      </c>
      <c r="S285" s="38" t="n">
        <v>224373.209</v>
      </c>
      <c r="T285" s="38" t="n">
        <v>45179.697</v>
      </c>
      <c r="U285" s="38" t="n">
        <v>6210.047</v>
      </c>
      <c r="V285" s="38" t="n">
        <v>6210.047</v>
      </c>
      <c r="W285" s="38" t="n">
        <v>0</v>
      </c>
    </row>
    <row r="286">
      <c r="A286" s="35" t="inlineStr">
        <is>
          <t>2018-06</t>
        </is>
      </c>
      <c r="B286" s="35" t="n">
        <v>2018</v>
      </c>
      <c r="C286" s="35" t="n">
        <v>6</v>
      </c>
      <c r="D286" s="36" t="n">
        <v>-16065.866</v>
      </c>
      <c r="E286" s="36" t="n">
        <v>-10807.717</v>
      </c>
      <c r="F286" s="36" t="n">
        <v>18748.507</v>
      </c>
      <c r="G286" s="36" t="n">
        <v>-1068.298</v>
      </c>
      <c r="H286" s="36" t="n">
        <v>19816.805</v>
      </c>
      <c r="I286" s="36" t="n">
        <v>160.38</v>
      </c>
      <c r="J286" s="36" t="n">
        <v/>
      </c>
      <c r="K286" s="36" t="n">
        <v/>
      </c>
      <c r="L286" s="36" t="n">
        <v/>
      </c>
      <c r="M286" s="36" t="n">
        <v/>
      </c>
      <c r="N286" s="36" t="n">
        <v>0</v>
      </c>
      <c r="O286" s="36" t="n">
        <v>7083.874</v>
      </c>
      <c r="P286" s="36" t="n">
        <v/>
      </c>
      <c r="Q286" s="36" t="n">
        <v>1155.715</v>
      </c>
      <c r="R286" s="36" t="n">
        <v>269827.763</v>
      </c>
      <c r="S286" s="36" t="n">
        <v>225768.541</v>
      </c>
      <c r="T286" s="36" t="n">
        <v>44059.222</v>
      </c>
      <c r="U286" s="36" t="n">
        <v>274.857</v>
      </c>
      <c r="V286" s="36" t="n">
        <v>274.893</v>
      </c>
      <c r="W286" s="36" t="n">
        <v>0.036</v>
      </c>
    </row>
    <row r="287">
      <c r="A287" s="37" t="inlineStr">
        <is>
          <t>2018-07</t>
        </is>
      </c>
      <c r="B287" s="37" t="n">
        <v>2018</v>
      </c>
      <c r="C287" s="37" t="n">
        <v>7</v>
      </c>
      <c r="D287" s="38" t="n">
        <v>20021.93</v>
      </c>
      <c r="E287" s="38" t="n">
        <v>259.251</v>
      </c>
      <c r="F287" s="38" t="n">
        <v>-338.05</v>
      </c>
      <c r="G287" s="38" t="n">
        <v>33283.219</v>
      </c>
      <c r="H287" s="38" t="n">
        <v>-33621.269</v>
      </c>
      <c r="I287" s="38" t="n">
        <v>-6359.885</v>
      </c>
      <c r="J287" s="38" t="n">
        <v/>
      </c>
      <c r="K287" s="38" t="n">
        <v/>
      </c>
      <c r="L287" s="38" t="n">
        <v/>
      </c>
      <c r="M287" s="38" t="n">
        <v/>
      </c>
      <c r="N287" s="38" t="n">
        <v>0</v>
      </c>
      <c r="O287" s="38" t="n">
        <v>-8606.861999999999</v>
      </c>
      <c r="P287" s="38" t="n">
        <v/>
      </c>
      <c r="Q287" s="38" t="n">
        <v>534.525</v>
      </c>
      <c r="R287" s="38" t="n">
        <v>275338.55</v>
      </c>
      <c r="S287" s="38" t="n">
        <v>227029.344</v>
      </c>
      <c r="T287" s="38" t="n">
        <v>48309.206</v>
      </c>
      <c r="U287" s="38" t="n">
        <v>5510.787</v>
      </c>
      <c r="V287" s="38" t="n">
        <v>5510.909</v>
      </c>
      <c r="W287" s="38" t="n">
        <v>0.122</v>
      </c>
    </row>
    <row r="288">
      <c r="A288" s="35" t="inlineStr">
        <is>
          <t>2018-08</t>
        </is>
      </c>
      <c r="B288" s="35" t="n">
        <v>2018</v>
      </c>
      <c r="C288" s="35" t="n">
        <v>8</v>
      </c>
      <c r="D288" s="36" t="n">
        <v>-66073.223</v>
      </c>
      <c r="E288" s="36" t="n">
        <v>3280.355</v>
      </c>
      <c r="F288" s="36" t="n">
        <v>31207.981</v>
      </c>
      <c r="G288" s="36" t="n">
        <v>8433.593000000001</v>
      </c>
      <c r="H288" s="36" t="n">
        <v>22774.388</v>
      </c>
      <c r="I288" s="36" t="n">
        <v>6441.182</v>
      </c>
      <c r="J288" s="36" t="n">
        <v/>
      </c>
      <c r="K288" s="36" t="n">
        <v/>
      </c>
      <c r="L288" s="36" t="n">
        <v/>
      </c>
      <c r="M288" s="36" t="n">
        <v/>
      </c>
      <c r="N288" s="36" t="n">
        <v>-0.029</v>
      </c>
      <c r="O288" s="36" t="n">
        <v>28558.727</v>
      </c>
      <c r="P288" s="36" t="n">
        <v/>
      </c>
      <c r="Q288" s="36" t="n">
        <v>-1076.258</v>
      </c>
      <c r="R288" s="36" t="n">
        <v>277677.286</v>
      </c>
      <c r="S288" s="36" t="n">
        <v>230592.551</v>
      </c>
      <c r="T288" s="36" t="n">
        <v>47084.735</v>
      </c>
      <c r="U288" s="36" t="n">
        <v>2338.736</v>
      </c>
      <c r="V288" s="36" t="n">
        <v>2338.735</v>
      </c>
      <c r="W288" s="36" t="n">
        <v>-0.001</v>
      </c>
    </row>
    <row r="289">
      <c r="A289" s="37" t="inlineStr">
        <is>
          <t>2018-09</t>
        </is>
      </c>
      <c r="B289" s="37" t="n">
        <v>2018</v>
      </c>
      <c r="C289" s="37" t="n">
        <v>9</v>
      </c>
      <c r="D289" s="38" t="n">
        <v>21716.892</v>
      </c>
      <c r="E289" s="38" t="n">
        <v>-132.193</v>
      </c>
      <c r="F289" s="38" t="n">
        <v>516.3680000000001</v>
      </c>
      <c r="G289" s="38" t="n">
        <v>27743.275</v>
      </c>
      <c r="H289" s="38" t="n">
        <v>-27226.907</v>
      </c>
      <c r="I289" s="38" t="n">
        <v>-7665.958</v>
      </c>
      <c r="J289" s="38" t="n">
        <v/>
      </c>
      <c r="K289" s="38" t="n">
        <v/>
      </c>
      <c r="L289" s="38" t="n">
        <v/>
      </c>
      <c r="M289" s="38" t="n">
        <v/>
      </c>
      <c r="N289" s="38" t="n">
        <v>-0.004</v>
      </c>
      <c r="O289" s="38" t="n">
        <v>-12765.122</v>
      </c>
      <c r="P289" s="38" t="n">
        <v/>
      </c>
      <c r="Q289" s="38" t="n">
        <v>59.637</v>
      </c>
      <c r="R289" s="38" t="n">
        <v>279406.906</v>
      </c>
      <c r="S289" s="38" t="n">
        <v>235679.069</v>
      </c>
      <c r="T289" s="38" t="n">
        <v>43727.837</v>
      </c>
      <c r="U289" s="38" t="n">
        <v>1729.62</v>
      </c>
      <c r="V289" s="38" t="n">
        <v>1729.62</v>
      </c>
      <c r="W289" s="38" t="n">
        <v>0</v>
      </c>
    </row>
    <row r="290">
      <c r="A290" s="35" t="inlineStr">
        <is>
          <t>2018-10</t>
        </is>
      </c>
      <c r="B290" s="35" t="n">
        <v>2018</v>
      </c>
      <c r="C290" s="35" t="n">
        <v>10</v>
      </c>
      <c r="D290" s="36" t="n">
        <v>-281.385</v>
      </c>
      <c r="E290" s="36" t="n">
        <v>359.813</v>
      </c>
      <c r="F290" s="36" t="n">
        <v>31084.913</v>
      </c>
      <c r="G290" s="36" t="n">
        <v>33958.188</v>
      </c>
      <c r="H290" s="36" t="n">
        <v>-2873.275</v>
      </c>
      <c r="I290" s="36" t="n">
        <v>-3912.162</v>
      </c>
      <c r="J290" s="36" t="n">
        <v/>
      </c>
      <c r="K290" s="36" t="n">
        <v/>
      </c>
      <c r="L290" s="36" t="n">
        <v/>
      </c>
      <c r="M290" s="36" t="n">
        <v/>
      </c>
      <c r="N290" s="36" t="n">
        <v>-0.043</v>
      </c>
      <c r="O290" s="36" t="n">
        <v>-19298.641</v>
      </c>
      <c r="P290" s="36" t="n">
        <v/>
      </c>
      <c r="Q290" s="36" t="n">
        <v>-383.904</v>
      </c>
      <c r="R290" s="36" t="n">
        <v>286975.496</v>
      </c>
      <c r="S290" s="36" t="n">
        <v>235090.18</v>
      </c>
      <c r="T290" s="36" t="n">
        <v>51885.317</v>
      </c>
      <c r="U290" s="36" t="n">
        <v>7568.59</v>
      </c>
      <c r="V290" s="36" t="n">
        <v>7568.591</v>
      </c>
      <c r="W290" s="36" t="n">
        <v>0.001</v>
      </c>
    </row>
    <row r="291">
      <c r="A291" s="37" t="inlineStr">
        <is>
          <t>2018-11</t>
        </is>
      </c>
      <c r="B291" s="37" t="n">
        <v>2018</v>
      </c>
      <c r="C291" s="37" t="n">
        <v>11</v>
      </c>
      <c r="D291" s="38" t="n">
        <v>-3348.755</v>
      </c>
      <c r="E291" s="38" t="n">
        <v>-7678.623</v>
      </c>
      <c r="F291" s="38" t="n">
        <v>-8490.723</v>
      </c>
      <c r="G291" s="38" t="n">
        <v>-34077.392</v>
      </c>
      <c r="H291" s="38" t="n">
        <v>25586.669</v>
      </c>
      <c r="I291" s="38" t="n">
        <v>1818.714</v>
      </c>
      <c r="J291" s="38" t="n">
        <v/>
      </c>
      <c r="K291" s="38" t="n">
        <v/>
      </c>
      <c r="L291" s="38" t="n">
        <v/>
      </c>
      <c r="M291" s="38" t="n">
        <v/>
      </c>
      <c r="N291" s="38" t="n">
        <v>-0.001</v>
      </c>
      <c r="O291" s="38" t="n">
        <v>9288.659</v>
      </c>
      <c r="P291" s="38" t="n">
        <v/>
      </c>
      <c r="Q291" s="38" t="n">
        <v>694.0650000000001</v>
      </c>
      <c r="R291" s="38" t="n">
        <v>279258.83</v>
      </c>
      <c r="S291" s="38" t="n">
        <v>238857.805</v>
      </c>
      <c r="T291" s="38" t="n">
        <v>40401.025</v>
      </c>
      <c r="U291" s="38" t="n">
        <v>-7716.666</v>
      </c>
      <c r="V291" s="38" t="n">
        <v>-7716.664</v>
      </c>
      <c r="W291" s="38" t="n">
        <v>0.002</v>
      </c>
    </row>
    <row r="292">
      <c r="A292" s="35" t="inlineStr">
        <is>
          <t>2018-12</t>
        </is>
      </c>
      <c r="B292" s="35" t="n">
        <v>2018</v>
      </c>
      <c r="C292" s="35" t="n">
        <v>12</v>
      </c>
      <c r="D292" s="36" t="n">
        <v>20453.395</v>
      </c>
      <c r="E292" s="36" t="n">
        <v>-30488.34</v>
      </c>
      <c r="F292" s="36" t="n">
        <v>36530.769</v>
      </c>
      <c r="G292" s="36" t="n">
        <v>-29615.079</v>
      </c>
      <c r="H292" s="36" t="n">
        <v>66145.848</v>
      </c>
      <c r="I292" s="36" t="n">
        <v>-6759.022</v>
      </c>
      <c r="J292" s="36" t="n">
        <v/>
      </c>
      <c r="K292" s="36" t="n">
        <v/>
      </c>
      <c r="L292" s="36" t="n">
        <v/>
      </c>
      <c r="M292" s="36" t="n">
        <v/>
      </c>
      <c r="N292" s="36" t="n">
        <v>13.279</v>
      </c>
      <c r="O292" s="36" t="n">
        <v>1519.905</v>
      </c>
      <c r="P292" s="36" t="n">
        <v/>
      </c>
      <c r="Q292" s="36" t="n">
        <v>1520.697</v>
      </c>
      <c r="R292" s="36" t="n">
        <v>302049.461</v>
      </c>
      <c r="S292" s="36" t="n">
        <v>264967.669</v>
      </c>
      <c r="T292" s="36" t="n">
        <v>37081.792</v>
      </c>
      <c r="U292" s="36" t="n">
        <v>22790.631</v>
      </c>
      <c r="V292" s="36" t="n">
        <v>22790.683</v>
      </c>
      <c r="W292" s="36" t="n">
        <v>0.052</v>
      </c>
    </row>
    <row r="293">
      <c r="A293" s="37" t="inlineStr">
        <is>
          <t>2019-01</t>
        </is>
      </c>
      <c r="B293" s="37" t="n">
        <v>2019</v>
      </c>
      <c r="C293" s="37" t="n">
        <v>1</v>
      </c>
      <c r="D293" s="38" t="n">
        <v>4845.316</v>
      </c>
      <c r="E293" s="38" t="n">
        <v>290.261</v>
      </c>
      <c r="F293" s="38" t="n">
        <v>-18400.79</v>
      </c>
      <c r="G293" s="38" t="n">
        <v>87812.255</v>
      </c>
      <c r="H293" s="38" t="n">
        <v>-106213.045</v>
      </c>
      <c r="I293" s="38" t="n">
        <v>2132.072</v>
      </c>
      <c r="J293" s="38" t="n">
        <v/>
      </c>
      <c r="K293" s="38" t="n">
        <v/>
      </c>
      <c r="L293" s="38" t="n">
        <v/>
      </c>
      <c r="M293" s="38" t="n">
        <v/>
      </c>
      <c r="N293" s="38" t="n">
        <v>-14.261</v>
      </c>
      <c r="O293" s="38" t="n">
        <v>-11628.285</v>
      </c>
      <c r="P293" s="38" t="n">
        <v/>
      </c>
      <c r="Q293" s="38" t="n">
        <v>-168.088</v>
      </c>
      <c r="R293" s="38" t="n">
        <v>279105.602</v>
      </c>
      <c r="S293" s="38" t="n">
        <v>241502.408</v>
      </c>
      <c r="T293" s="38" t="n">
        <v>37603.195</v>
      </c>
      <c r="U293" s="38" t="n">
        <v>-22943.859</v>
      </c>
      <c r="V293" s="38" t="n">
        <v>-22943.775</v>
      </c>
      <c r="W293" s="38" t="n">
        <v>0.08400000000000001</v>
      </c>
    </row>
    <row r="294">
      <c r="A294" s="35" t="inlineStr">
        <is>
          <t>2019-02</t>
        </is>
      </c>
      <c r="B294" s="35" t="n">
        <v>2019</v>
      </c>
      <c r="C294" s="35" t="n">
        <v>2</v>
      </c>
      <c r="D294" s="36" t="n">
        <v>-13634.412</v>
      </c>
      <c r="E294" s="36" t="n">
        <v>6138.72</v>
      </c>
      <c r="F294" s="36" t="n">
        <v>10297.473</v>
      </c>
      <c r="G294" s="36" t="n">
        <v>-33636.875</v>
      </c>
      <c r="H294" s="36" t="n">
        <v>43934.348</v>
      </c>
      <c r="I294" s="36" t="n">
        <v>8939.334000000001</v>
      </c>
      <c r="J294" s="36" t="n">
        <v/>
      </c>
      <c r="K294" s="36" t="n">
        <v/>
      </c>
      <c r="L294" s="36" t="n">
        <v/>
      </c>
      <c r="M294" s="36" t="n">
        <v/>
      </c>
      <c r="N294" s="36" t="n">
        <v>-0.017</v>
      </c>
      <c r="O294" s="36" t="n">
        <v>-315.273</v>
      </c>
      <c r="P294" s="36" t="n">
        <v/>
      </c>
      <c r="Q294" s="36" t="n">
        <v>-383.614</v>
      </c>
      <c r="R294" s="36" t="n">
        <v>290147.814</v>
      </c>
      <c r="S294" s="36" t="n">
        <v>241233.707</v>
      </c>
      <c r="T294" s="36" t="n">
        <v>48914.107</v>
      </c>
      <c r="U294" s="36" t="n">
        <v>11042.212</v>
      </c>
      <c r="V294" s="36" t="n">
        <v>11042.211</v>
      </c>
      <c r="W294" s="36" t="n">
        <v>-0.001</v>
      </c>
    </row>
    <row r="295">
      <c r="A295" s="37" t="inlineStr">
        <is>
          <t>2019-03</t>
        </is>
      </c>
      <c r="B295" s="37" t="n">
        <v>2019</v>
      </c>
      <c r="C295" s="37" t="n">
        <v>3</v>
      </c>
      <c r="D295" s="38" t="n">
        <v>10171.473</v>
      </c>
      <c r="E295" s="38" t="n">
        <v>12613.872</v>
      </c>
      <c r="F295" s="38" t="n">
        <v>-38291.561</v>
      </c>
      <c r="G295" s="38" t="n">
        <v>-2492.95</v>
      </c>
      <c r="H295" s="38" t="n">
        <v>-35798.611</v>
      </c>
      <c r="I295" s="38" t="n">
        <v>-381.352</v>
      </c>
      <c r="J295" s="38" t="n">
        <v/>
      </c>
      <c r="K295" s="38" t="n">
        <v/>
      </c>
      <c r="L295" s="38" t="n">
        <v/>
      </c>
      <c r="M295" s="38" t="n">
        <v/>
      </c>
      <c r="N295" s="38" t="n">
        <v>-0.031</v>
      </c>
      <c r="O295" s="38" t="n">
        <v>11963.147</v>
      </c>
      <c r="P295" s="38" t="n">
        <v/>
      </c>
      <c r="Q295" s="38" t="n">
        <v>518.207</v>
      </c>
      <c r="R295" s="38" t="n">
        <v>286741.568</v>
      </c>
      <c r="S295" s="38" t="n">
        <v>236674.943</v>
      </c>
      <c r="T295" s="38" t="n">
        <v>50066.625</v>
      </c>
      <c r="U295" s="38" t="n">
        <v>-3406.246</v>
      </c>
      <c r="V295" s="38" t="n">
        <v>-3406.245</v>
      </c>
      <c r="W295" s="38" t="n">
        <v>0.001</v>
      </c>
    </row>
    <row r="296">
      <c r="A296" s="35" t="inlineStr">
        <is>
          <t>2019-04</t>
        </is>
      </c>
      <c r="B296" s="35" t="n">
        <v>2019</v>
      </c>
      <c r="C296" s="35" t="n">
        <v>4</v>
      </c>
      <c r="D296" s="36" t="n">
        <v>3276.041</v>
      </c>
      <c r="E296" s="36" t="n">
        <v>-4237.045</v>
      </c>
      <c r="F296" s="36" t="n">
        <v>-4706.832</v>
      </c>
      <c r="G296" s="36" t="n">
        <v>70582.307</v>
      </c>
      <c r="H296" s="36" t="n">
        <v>-75289.139</v>
      </c>
      <c r="I296" s="36" t="n">
        <v>-2646.39</v>
      </c>
      <c r="J296" s="36" t="n">
        <v/>
      </c>
      <c r="K296" s="36" t="n">
        <v/>
      </c>
      <c r="L296" s="36" t="n">
        <v/>
      </c>
      <c r="M296" s="36" t="n">
        <v/>
      </c>
      <c r="N296" s="36" t="n">
        <v>-0.008999999999999999</v>
      </c>
      <c r="O296" s="36" t="n">
        <v>1456.117</v>
      </c>
      <c r="P296" s="36" t="n">
        <v/>
      </c>
      <c r="Q296" s="36" t="n">
        <v>-278.787</v>
      </c>
      <c r="R296" s="36" t="n">
        <v>279604.663</v>
      </c>
      <c r="S296" s="36" t="n">
        <v>235680.83</v>
      </c>
      <c r="T296" s="36" t="n">
        <v>43923.832</v>
      </c>
      <c r="U296" s="36" t="n">
        <v>-7136.905</v>
      </c>
      <c r="V296" s="36" t="n">
        <v>-7136.905</v>
      </c>
      <c r="W296" s="36" t="n">
        <v>0</v>
      </c>
    </row>
    <row r="297">
      <c r="A297" s="37" t="inlineStr">
        <is>
          <t>2019-05</t>
        </is>
      </c>
      <c r="B297" s="37" t="n">
        <v>2019</v>
      </c>
      <c r="C297" s="37" t="n">
        <v>5</v>
      </c>
      <c r="D297" s="38" t="n">
        <v>-46646.866</v>
      </c>
      <c r="E297" s="38" t="n">
        <v>267.348</v>
      </c>
      <c r="F297" s="38" t="n">
        <v>43232.142</v>
      </c>
      <c r="G297" s="38" t="n">
        <v>23705.908</v>
      </c>
      <c r="H297" s="38" t="n">
        <v>19526.234</v>
      </c>
      <c r="I297" s="38" t="n">
        <v>649.3630000000001</v>
      </c>
      <c r="J297" s="38" t="n">
        <v/>
      </c>
      <c r="K297" s="38" t="n">
        <v/>
      </c>
      <c r="L297" s="38" t="n">
        <v/>
      </c>
      <c r="M297" s="38" t="n">
        <v/>
      </c>
      <c r="N297" s="38" t="n">
        <v>0.211</v>
      </c>
      <c r="O297" s="38" t="n">
        <v>1598.74</v>
      </c>
      <c r="P297" s="38" t="n">
        <v/>
      </c>
      <c r="Q297" s="38" t="n">
        <v>-829.655</v>
      </c>
      <c r="R297" s="38" t="n">
        <v>277875.947</v>
      </c>
      <c r="S297" s="38" t="n">
        <v>233750.937</v>
      </c>
      <c r="T297" s="38" t="n">
        <v>44125.01</v>
      </c>
      <c r="U297" s="38" t="n">
        <v>-1728.716</v>
      </c>
      <c r="V297" s="38" t="n">
        <v>-1728.717</v>
      </c>
      <c r="W297" s="38" t="n">
        <v>-0.001</v>
      </c>
    </row>
    <row r="298">
      <c r="A298" s="35" t="inlineStr">
        <is>
          <t>2019-06</t>
        </is>
      </c>
      <c r="B298" s="35" t="n">
        <v>2019</v>
      </c>
      <c r="C298" s="35" t="n">
        <v>6</v>
      </c>
      <c r="D298" s="36" t="n">
        <v>11931.036</v>
      </c>
      <c r="E298" s="36" t="n">
        <v>-8904.232</v>
      </c>
      <c r="F298" s="36" t="n">
        <v>4552.013</v>
      </c>
      <c r="G298" s="36" t="n">
        <v>-66167.255</v>
      </c>
      <c r="H298" s="36" t="n">
        <v>70719.268</v>
      </c>
      <c r="I298" s="36" t="n">
        <v>-439.972</v>
      </c>
      <c r="J298" s="36" t="n">
        <v/>
      </c>
      <c r="K298" s="36" t="n">
        <v/>
      </c>
      <c r="L298" s="36" t="n">
        <v/>
      </c>
      <c r="M298" s="36" t="n">
        <v/>
      </c>
      <c r="N298" s="36" t="n">
        <v>-0.214</v>
      </c>
      <c r="O298" s="36" t="n">
        <v>-9041.809999999999</v>
      </c>
      <c r="P298" s="36" t="n">
        <v/>
      </c>
      <c r="Q298" s="36" t="n">
        <v>67.18899999999999</v>
      </c>
      <c r="R298" s="36" t="n">
        <v>276039.957</v>
      </c>
      <c r="S298" s="36" t="n">
        <v>235378.622</v>
      </c>
      <c r="T298" s="36" t="n">
        <v>40661.336</v>
      </c>
      <c r="U298" s="36" t="n">
        <v>-1835.99</v>
      </c>
      <c r="V298" s="36" t="n">
        <v>-1835.99</v>
      </c>
      <c r="W298" s="36" t="n">
        <v>0</v>
      </c>
    </row>
    <row r="299">
      <c r="A299" s="37" t="inlineStr">
        <is>
          <t>2019-07</t>
        </is>
      </c>
      <c r="B299" s="37" t="n">
        <v>2019</v>
      </c>
      <c r="C299" s="37" t="n">
        <v>7</v>
      </c>
      <c r="D299" s="38" t="n">
        <v>11781.604</v>
      </c>
      <c r="E299" s="38" t="n">
        <v>-5885.694</v>
      </c>
      <c r="F299" s="38" t="n">
        <v>-25555.929</v>
      </c>
      <c r="G299" s="38" t="n">
        <v>6229.813</v>
      </c>
      <c r="H299" s="38" t="n">
        <v>-31785.742</v>
      </c>
      <c r="I299" s="38" t="n">
        <v>18971.135</v>
      </c>
      <c r="J299" s="38" t="n">
        <v/>
      </c>
      <c r="K299" s="38" t="n">
        <v/>
      </c>
      <c r="L299" s="38" t="n">
        <v/>
      </c>
      <c r="M299" s="38" t="n">
        <v/>
      </c>
      <c r="N299" s="38" t="n">
        <v>-0.004</v>
      </c>
      <c r="O299" s="38" t="n">
        <v>-3899.786</v>
      </c>
      <c r="P299" s="38" t="n">
        <v/>
      </c>
      <c r="Q299" s="38" t="n">
        <v>-106.596</v>
      </c>
      <c r="R299" s="38" t="n">
        <v>271344.687</v>
      </c>
      <c r="S299" s="38" t="n">
        <v>236223.218</v>
      </c>
      <c r="T299" s="38" t="n">
        <v>35121.47</v>
      </c>
      <c r="U299" s="38" t="n">
        <v>-4695.27</v>
      </c>
      <c r="V299" s="38" t="n">
        <v>-4695.27</v>
      </c>
      <c r="W299" s="38" t="n">
        <v>0</v>
      </c>
    </row>
    <row r="300">
      <c r="A300" s="35" t="inlineStr">
        <is>
          <t>2019-08</t>
        </is>
      </c>
      <c r="B300" s="35" t="n">
        <v>2019</v>
      </c>
      <c r="C300" s="35" t="n">
        <v>8</v>
      </c>
      <c r="D300" s="36" t="n">
        <v>-1617.75</v>
      </c>
      <c r="E300" s="36" t="n">
        <v>-9466.58</v>
      </c>
      <c r="F300" s="36" t="n">
        <v>-1404.367</v>
      </c>
      <c r="G300" s="36" t="n">
        <v>-37478.337</v>
      </c>
      <c r="H300" s="36" t="n">
        <v>36073.97</v>
      </c>
      <c r="I300" s="36" t="n">
        <v>-820.467</v>
      </c>
      <c r="J300" s="36" t="n">
        <v/>
      </c>
      <c r="K300" s="36" t="n">
        <v/>
      </c>
      <c r="L300" s="36" t="n">
        <v/>
      </c>
      <c r="M300" s="36" t="n">
        <v/>
      </c>
      <c r="N300" s="36" t="n">
        <v>-0.002</v>
      </c>
      <c r="O300" s="36" t="n">
        <v>24484.417</v>
      </c>
      <c r="P300" s="36" t="n">
        <v/>
      </c>
      <c r="Q300" s="36" t="n">
        <v>97.363</v>
      </c>
      <c r="R300" s="36" t="n">
        <v>282617.3</v>
      </c>
      <c r="S300" s="36" t="n">
        <v>237058.538</v>
      </c>
      <c r="T300" s="36" t="n">
        <v>45558.763</v>
      </c>
      <c r="U300" s="36" t="n">
        <v>11272.613</v>
      </c>
      <c r="V300" s="36" t="n">
        <v>11272.614</v>
      </c>
      <c r="W300" s="36" t="n">
        <v>0.001</v>
      </c>
    </row>
    <row r="301">
      <c r="A301" s="37" t="inlineStr">
        <is>
          <t>2019-09</t>
        </is>
      </c>
      <c r="B301" s="37" t="n">
        <v>2019</v>
      </c>
      <c r="C301" s="37" t="n">
        <v>9</v>
      </c>
      <c r="D301" s="38" t="n">
        <v>-26343.066</v>
      </c>
      <c r="E301" s="38" t="n">
        <v>-37645.604</v>
      </c>
      <c r="F301" s="38" t="n">
        <v>69625.677</v>
      </c>
      <c r="G301" s="38" t="n">
        <v>-58578.683</v>
      </c>
      <c r="H301" s="38" t="n">
        <v>128204.36</v>
      </c>
      <c r="I301" s="38" t="n">
        <v>-3105.501</v>
      </c>
      <c r="J301" s="38" t="n">
        <v/>
      </c>
      <c r="K301" s="38" t="n">
        <v/>
      </c>
      <c r="L301" s="38" t="n">
        <v/>
      </c>
      <c r="M301" s="38" t="n">
        <v/>
      </c>
      <c r="N301" s="38" t="n">
        <v>76.18899999999999</v>
      </c>
      <c r="O301" s="38" t="n">
        <v>-1231.746</v>
      </c>
      <c r="P301" s="38" t="n">
        <v/>
      </c>
      <c r="Q301" s="38" t="n">
        <v>-2856.687</v>
      </c>
      <c r="R301" s="38" t="n">
        <v>281136.562</v>
      </c>
      <c r="S301" s="38" t="n">
        <v>243901.597</v>
      </c>
      <c r="T301" s="38" t="n">
        <v>37234.965</v>
      </c>
      <c r="U301" s="38" t="n">
        <v>-1480.738</v>
      </c>
      <c r="V301" s="38" t="n">
        <v>-1480.738</v>
      </c>
      <c r="W301" s="38" t="n">
        <v>0</v>
      </c>
    </row>
    <row r="302">
      <c r="A302" s="35" t="inlineStr">
        <is>
          <t>2019-10</t>
        </is>
      </c>
      <c r="B302" s="35" t="n">
        <v>2019</v>
      </c>
      <c r="C302" s="35" t="n">
        <v>10</v>
      </c>
      <c r="D302" s="36" t="n">
        <v>-1003.697</v>
      </c>
      <c r="E302" s="36" t="n">
        <v>-36258.886</v>
      </c>
      <c r="F302" s="36" t="n">
        <v>51813.922</v>
      </c>
      <c r="G302" s="36" t="n">
        <v>49541.69</v>
      </c>
      <c r="H302" s="36" t="n">
        <v>2272.232</v>
      </c>
      <c r="I302" s="36" t="n">
        <v>2365.374</v>
      </c>
      <c r="J302" s="36" t="n">
        <v/>
      </c>
      <c r="K302" s="36" t="n">
        <v/>
      </c>
      <c r="L302" s="36" t="n">
        <v/>
      </c>
      <c r="M302" s="36" t="n">
        <v/>
      </c>
      <c r="N302" s="36" t="n">
        <v>-46.338</v>
      </c>
      <c r="O302" s="36" t="n">
        <v>-7684.226</v>
      </c>
      <c r="P302" s="36" t="n">
        <v/>
      </c>
      <c r="Q302" s="36" t="n">
        <v>2024.784</v>
      </c>
      <c r="R302" s="36" t="n">
        <v>292347.495</v>
      </c>
      <c r="S302" s="36" t="n">
        <v>245421.698</v>
      </c>
      <c r="T302" s="36" t="n">
        <v>46925.797</v>
      </c>
      <c r="U302" s="36" t="n">
        <v>11210.933</v>
      </c>
      <c r="V302" s="36" t="n">
        <v>11210.933</v>
      </c>
      <c r="W302" s="36" t="n">
        <v>0</v>
      </c>
    </row>
    <row r="303">
      <c r="A303" s="37" t="inlineStr">
        <is>
          <t>2019-11</t>
        </is>
      </c>
      <c r="B303" s="37" t="n">
        <v>2019</v>
      </c>
      <c r="C303" s="37" t="n">
        <v>11</v>
      </c>
      <c r="D303" s="38" t="n">
        <v>1914.918</v>
      </c>
      <c r="E303" s="38" t="n">
        <v>-11241.856</v>
      </c>
      <c r="F303" s="38" t="n">
        <v>8595.151</v>
      </c>
      <c r="G303" s="38" t="n">
        <v>-39614.947</v>
      </c>
      <c r="H303" s="38" t="n">
        <v>48210.098</v>
      </c>
      <c r="I303" s="38" t="n">
        <v>-2313.228</v>
      </c>
      <c r="J303" s="38" t="n">
        <v/>
      </c>
      <c r="K303" s="38" t="n">
        <v/>
      </c>
      <c r="L303" s="38" t="n">
        <v/>
      </c>
      <c r="M303" s="38" t="n">
        <v/>
      </c>
      <c r="N303" s="38" t="n">
        <v>-30.013</v>
      </c>
      <c r="O303" s="38" t="n">
        <v>8866.347</v>
      </c>
      <c r="P303" s="38" t="n">
        <v/>
      </c>
      <c r="Q303" s="38" t="n">
        <v>-1355.922</v>
      </c>
      <c r="R303" s="38" t="n">
        <v>296782.893</v>
      </c>
      <c r="S303" s="38" t="n">
        <v>254589.175</v>
      </c>
      <c r="T303" s="38" t="n">
        <v>42193.718</v>
      </c>
      <c r="U303" s="38" t="n">
        <v>4435.398</v>
      </c>
      <c r="V303" s="38" t="n">
        <v>4435.397</v>
      </c>
      <c r="W303" s="38" t="n">
        <v>-0.001</v>
      </c>
    </row>
    <row r="304">
      <c r="A304" s="35" t="inlineStr">
        <is>
          <t>2019-12</t>
        </is>
      </c>
      <c r="B304" s="35" t="n">
        <v>2019</v>
      </c>
      <c r="C304" s="35" t="n">
        <v>12</v>
      </c>
      <c r="D304" s="36" t="n">
        <v>-43975.649</v>
      </c>
      <c r="E304" s="36" t="n">
        <v>-46838.632</v>
      </c>
      <c r="F304" s="36" t="n">
        <v>127568.06</v>
      </c>
      <c r="G304" s="36" t="n">
        <v>-15623.582</v>
      </c>
      <c r="H304" s="36" t="n">
        <v>143191.642</v>
      </c>
      <c r="I304" s="36" t="n">
        <v>-6659.602</v>
      </c>
      <c r="J304" s="36" t="n">
        <v/>
      </c>
      <c r="K304" s="36" t="n">
        <v/>
      </c>
      <c r="L304" s="36" t="n">
        <v/>
      </c>
      <c r="M304" s="36" t="n">
        <v/>
      </c>
      <c r="N304" s="36" t="n">
        <v>-0.06</v>
      </c>
      <c r="O304" s="36" t="n">
        <v>-6928.091</v>
      </c>
      <c r="P304" s="36" t="n">
        <v/>
      </c>
      <c r="Q304" s="36" t="n">
        <v>-3362.213</v>
      </c>
      <c r="R304" s="36" t="n">
        <v>316586.707</v>
      </c>
      <c r="S304" s="36" t="n">
        <v>280685.185</v>
      </c>
      <c r="T304" s="36" t="n">
        <v>35901.522</v>
      </c>
      <c r="U304" s="36" t="n">
        <v>19803.814</v>
      </c>
      <c r="V304" s="36" t="n">
        <v>19803.813</v>
      </c>
      <c r="W304" s="36" t="n">
        <v>-0.001</v>
      </c>
    </row>
    <row r="305">
      <c r="A305" s="37" t="inlineStr">
        <is>
          <t>2020-01</t>
        </is>
      </c>
      <c r="B305" s="37" t="n">
        <v>2020</v>
      </c>
      <c r="C305" s="37" t="n">
        <v>1</v>
      </c>
      <c r="D305" s="38" t="n">
        <v>-1409.325</v>
      </c>
      <c r="E305" s="38" t="n">
        <v>423.862</v>
      </c>
      <c r="F305" s="38" t="n">
        <v>-5228.537</v>
      </c>
      <c r="G305" s="38" t="n">
        <v>55639.795</v>
      </c>
      <c r="H305" s="38" t="n">
        <v>-60868.332</v>
      </c>
      <c r="I305" s="38" t="n">
        <v>-555.184</v>
      </c>
      <c r="J305" s="38" t="n">
        <v/>
      </c>
      <c r="K305" s="38" t="n">
        <v/>
      </c>
      <c r="L305" s="38" t="n">
        <v/>
      </c>
      <c r="M305" s="38" t="n">
        <v/>
      </c>
      <c r="N305" s="38" t="n">
        <v>-0.063</v>
      </c>
      <c r="O305" s="38" t="n">
        <v>7614.691</v>
      </c>
      <c r="P305" s="38" t="n">
        <v/>
      </c>
      <c r="Q305" s="38" t="n">
        <v>527.245</v>
      </c>
      <c r="R305" s="38" t="n">
        <v>317959.396</v>
      </c>
      <c r="S305" s="38" t="n">
        <v>257444.8</v>
      </c>
      <c r="T305" s="38" t="n">
        <v>60514.596</v>
      </c>
      <c r="U305" s="38" t="n">
        <v>1372.689</v>
      </c>
      <c r="V305" s="38" t="n">
        <v>1372.689</v>
      </c>
      <c r="W305" s="38" t="n">
        <v>0</v>
      </c>
    </row>
    <row r="306">
      <c r="A306" s="35" t="inlineStr">
        <is>
          <t>2020-02</t>
        </is>
      </c>
      <c r="B306" s="35" t="n">
        <v>2020</v>
      </c>
      <c r="C306" s="35" t="n">
        <v>2</v>
      </c>
      <c r="D306" s="36" t="n">
        <v>-9391.457</v>
      </c>
      <c r="E306" s="36" t="n">
        <v>1415.604</v>
      </c>
      <c r="F306" s="36" t="n">
        <v>-17770.142</v>
      </c>
      <c r="G306" s="36" t="n">
        <v>-19911.815</v>
      </c>
      <c r="H306" s="36" t="n">
        <v>2141.673</v>
      </c>
      <c r="I306" s="36" t="n">
        <v>2335.083</v>
      </c>
      <c r="J306" s="36" t="n">
        <v/>
      </c>
      <c r="K306" s="36" t="n">
        <v/>
      </c>
      <c r="L306" s="36" t="n">
        <v/>
      </c>
      <c r="M306" s="36" t="n">
        <v/>
      </c>
      <c r="N306" s="36" t="n">
        <v>6.995</v>
      </c>
      <c r="O306" s="36" t="n">
        <v>7605.988</v>
      </c>
      <c r="P306" s="36" t="n">
        <v/>
      </c>
      <c r="Q306" s="36" t="n">
        <v>1036.019</v>
      </c>
      <c r="R306" s="36" t="n">
        <v>303197.485</v>
      </c>
      <c r="S306" s="36" t="n">
        <v>259344.6</v>
      </c>
      <c r="T306" s="36" t="n">
        <v>43852.886</v>
      </c>
      <c r="U306" s="36" t="n">
        <v>-14761.911</v>
      </c>
      <c r="V306" s="36" t="n">
        <v>-14761.91</v>
      </c>
      <c r="W306" s="36" t="n">
        <v>0.001</v>
      </c>
    </row>
    <row r="307">
      <c r="A307" s="37" t="inlineStr">
        <is>
          <t>2020-03</t>
        </is>
      </c>
      <c r="B307" s="37" t="n">
        <v>2020</v>
      </c>
      <c r="C307" s="37" t="n">
        <v>3</v>
      </c>
      <c r="D307" s="38" t="n">
        <v>11993.987</v>
      </c>
      <c r="E307" s="38" t="n">
        <v>-90991.917</v>
      </c>
      <c r="F307" s="38" t="n">
        <v>-52900.683</v>
      </c>
      <c r="G307" s="38" t="n">
        <v>124899.616</v>
      </c>
      <c r="H307" s="38" t="n">
        <v>-177800.299</v>
      </c>
      <c r="I307" s="38" t="n">
        <v>108865.49</v>
      </c>
      <c r="J307" s="38" t="n">
        <v/>
      </c>
      <c r="K307" s="38" t="n">
        <v/>
      </c>
      <c r="L307" s="38" t="n">
        <v/>
      </c>
      <c r="M307" s="38" t="n">
        <v/>
      </c>
      <c r="N307" s="38" t="n">
        <v>-7.08</v>
      </c>
      <c r="O307" s="38" t="n">
        <v>31258.559</v>
      </c>
      <c r="P307" s="38" t="n">
        <v/>
      </c>
      <c r="Q307" s="38" t="n">
        <v>-3855.595</v>
      </c>
      <c r="R307" s="38" t="n">
        <v>307560.246</v>
      </c>
      <c r="S307" s="38" t="n">
        <v>259536.017</v>
      </c>
      <c r="T307" s="38" t="n">
        <v>48024.229</v>
      </c>
      <c r="U307" s="38" t="n">
        <v>4362.761</v>
      </c>
      <c r="V307" s="38" t="n">
        <v>4362.761</v>
      </c>
      <c r="W307" s="38" t="n">
        <v>0</v>
      </c>
    </row>
    <row r="308">
      <c r="A308" s="35" t="inlineStr">
        <is>
          <t>2020-04</t>
        </is>
      </c>
      <c r="B308" s="35" t="n">
        <v>2020</v>
      </c>
      <c r="C308" s="35" t="n">
        <v>4</v>
      </c>
      <c r="D308" s="36" t="n">
        <v>103172.345</v>
      </c>
      <c r="E308" s="36" t="n">
        <v>-38448.797</v>
      </c>
      <c r="F308" s="36" t="n">
        <v>-12832.669</v>
      </c>
      <c r="G308" s="36" t="n">
        <v>85493.281</v>
      </c>
      <c r="H308" s="36" t="n">
        <v>-98325.95</v>
      </c>
      <c r="I308" s="36" t="n">
        <v>-29121.94</v>
      </c>
      <c r="J308" s="36" t="n">
        <v/>
      </c>
      <c r="K308" s="36" t="n">
        <v/>
      </c>
      <c r="L308" s="36" t="n">
        <v/>
      </c>
      <c r="M308" s="36" t="n">
        <v/>
      </c>
      <c r="N308" s="36" t="n">
        <v>-0.005</v>
      </c>
      <c r="O308" s="36" t="n">
        <v>8340.071</v>
      </c>
      <c r="P308" s="36" t="n">
        <v>1407.382</v>
      </c>
      <c r="Q308" s="36" t="n">
        <v>-3392.34</v>
      </c>
      <c r="R308" s="36" t="n">
        <v>336684.294</v>
      </c>
      <c r="S308" s="36" t="n">
        <v>291214.979</v>
      </c>
      <c r="T308" s="36" t="n">
        <v>45469.315</v>
      </c>
      <c r="U308" s="36" t="n">
        <v>29124.048</v>
      </c>
      <c r="V308" s="36" t="n">
        <v>29124.047</v>
      </c>
      <c r="W308" s="36" t="n">
        <v>-0.001</v>
      </c>
    </row>
    <row r="309">
      <c r="A309" s="37" t="inlineStr">
        <is>
          <t>2020-05</t>
        </is>
      </c>
      <c r="B309" s="37" t="n">
        <v>2020</v>
      </c>
      <c r="C309" s="37" t="n">
        <v>5</v>
      </c>
      <c r="D309" s="38" t="n">
        <v>108216.556</v>
      </c>
      <c r="E309" s="38" t="n">
        <v>14481.278</v>
      </c>
      <c r="F309" s="38" t="n">
        <v>-89444.24099999999</v>
      </c>
      <c r="G309" s="38" t="n">
        <v>-69955.246</v>
      </c>
      <c r="H309" s="38" t="n">
        <v>-19488.995</v>
      </c>
      <c r="I309" s="38" t="n">
        <v>-17682.55</v>
      </c>
      <c r="J309" s="38" t="n">
        <v/>
      </c>
      <c r="K309" s="38" t="n">
        <v/>
      </c>
      <c r="L309" s="38" t="n">
        <v/>
      </c>
      <c r="M309" s="38" t="n">
        <v/>
      </c>
      <c r="N309" s="38" t="n">
        <v>-0.002</v>
      </c>
      <c r="O309" s="38" t="n">
        <v>-3537.827</v>
      </c>
      <c r="P309" s="38" t="n">
        <v>20580.2</v>
      </c>
      <c r="Q309" s="38" t="n">
        <v>-1234.839</v>
      </c>
      <c r="R309" s="38" t="n">
        <v>368062.869</v>
      </c>
      <c r="S309" s="38" t="n">
        <v>315117.776</v>
      </c>
      <c r="T309" s="38" t="n">
        <v>52945.093</v>
      </c>
      <c r="U309" s="38" t="n">
        <v>31378.575</v>
      </c>
      <c r="V309" s="38" t="n">
        <v>31378.575</v>
      </c>
      <c r="W309" s="38" t="n">
        <v>0</v>
      </c>
    </row>
    <row r="310">
      <c r="A310" s="35" t="inlineStr">
        <is>
          <t>2020-06</t>
        </is>
      </c>
      <c r="B310" s="35" t="n">
        <v>2020</v>
      </c>
      <c r="C310" s="35" t="n">
        <v>6</v>
      </c>
      <c r="D310" s="36" t="n">
        <v>185258.475</v>
      </c>
      <c r="E310" s="36" t="n">
        <v>1269.881</v>
      </c>
      <c r="F310" s="36" t="n">
        <v>-170647.3</v>
      </c>
      <c r="G310" s="36" t="n">
        <v>-98198.814</v>
      </c>
      <c r="H310" s="36" t="n">
        <v>-72448.486</v>
      </c>
      <c r="I310" s="36" t="n">
        <v>-14490.459</v>
      </c>
      <c r="J310" s="36" t="n">
        <v/>
      </c>
      <c r="K310" s="36" t="n">
        <v/>
      </c>
      <c r="L310" s="36" t="n">
        <v/>
      </c>
      <c r="M310" s="36" t="n">
        <v/>
      </c>
      <c r="N310" s="36" t="n">
        <v>-0.034</v>
      </c>
      <c r="O310" s="36" t="n">
        <v>4856.739</v>
      </c>
      <c r="P310" s="36" t="n">
        <v>8109.74</v>
      </c>
      <c r="Q310" s="36" t="n">
        <v>-739.915</v>
      </c>
      <c r="R310" s="36" t="n">
        <v>381679.997</v>
      </c>
      <c r="S310" s="36" t="n">
        <v>335059.751</v>
      </c>
      <c r="T310" s="36" t="n">
        <v>46620.246</v>
      </c>
      <c r="U310" s="36" t="n">
        <v>13617.128</v>
      </c>
      <c r="V310" s="36" t="n">
        <v>13617.127</v>
      </c>
      <c r="W310" s="36" t="n">
        <v>-0.001</v>
      </c>
    </row>
    <row r="311">
      <c r="A311" s="37" t="inlineStr">
        <is>
          <t>2020-07</t>
        </is>
      </c>
      <c r="B311" s="37" t="n">
        <v>2020</v>
      </c>
      <c r="C311" s="37" t="n">
        <v>7</v>
      </c>
      <c r="D311" s="38" t="n">
        <v>91060.734</v>
      </c>
      <c r="E311" s="38" t="n">
        <v>9089.690000000001</v>
      </c>
      <c r="F311" s="38" t="n">
        <v>-54089.52</v>
      </c>
      <c r="G311" s="38" t="n">
        <v>56749.629</v>
      </c>
      <c r="H311" s="38" t="n">
        <v>-110839.149</v>
      </c>
      <c r="I311" s="38" t="n">
        <v>7879.934</v>
      </c>
      <c r="J311" s="38" t="n">
        <v/>
      </c>
      <c r="K311" s="38" t="n">
        <v/>
      </c>
      <c r="L311" s="38" t="n">
        <v/>
      </c>
      <c r="M311" s="38" t="n">
        <v/>
      </c>
      <c r="N311" s="38" t="n">
        <v>474.012</v>
      </c>
      <c r="O311" s="38" t="n">
        <v>-16283.119</v>
      </c>
      <c r="P311" s="38" t="n">
        <v>5227.39</v>
      </c>
      <c r="Q311" s="38" t="n">
        <v>-1364.417</v>
      </c>
      <c r="R311" s="38" t="n">
        <v>423674.702</v>
      </c>
      <c r="S311" s="38" t="n">
        <v>345720.204</v>
      </c>
      <c r="T311" s="38" t="n">
        <v>77954.499</v>
      </c>
      <c r="U311" s="38" t="n">
        <v>41994.705</v>
      </c>
      <c r="V311" s="38" t="n">
        <v>41994.704</v>
      </c>
      <c r="W311" s="38" t="n">
        <v>-0.001</v>
      </c>
    </row>
    <row r="312">
      <c r="A312" s="35" t="inlineStr">
        <is>
          <t>2020-08</t>
        </is>
      </c>
      <c r="B312" s="35" t="n">
        <v>2020</v>
      </c>
      <c r="C312" s="35" t="n">
        <v>8</v>
      </c>
      <c r="D312" s="36" t="n">
        <v>88074.68700000001</v>
      </c>
      <c r="E312" s="36" t="n">
        <v>24.798</v>
      </c>
      <c r="F312" s="36" t="n">
        <v>-129958.435</v>
      </c>
      <c r="G312" s="36" t="n">
        <v>-32819.041</v>
      </c>
      <c r="H312" s="36" t="n">
        <v>-97139.394</v>
      </c>
      <c r="I312" s="36" t="n">
        <v>2889.741</v>
      </c>
      <c r="J312" s="36" t="n">
        <v/>
      </c>
      <c r="K312" s="36" t="n">
        <v/>
      </c>
      <c r="L312" s="36" t="n">
        <v/>
      </c>
      <c r="M312" s="36" t="n">
        <v/>
      </c>
      <c r="N312" s="36" t="n">
        <v>-474.527</v>
      </c>
      <c r="O312" s="36" t="n">
        <v>14318.884</v>
      </c>
      <c r="P312" s="36" t="n">
        <v>2312.816</v>
      </c>
      <c r="Q312" s="36" t="n">
        <v>1844.772</v>
      </c>
      <c r="R312" s="36" t="n">
        <v>402707.438</v>
      </c>
      <c r="S312" s="36" t="n">
        <v>351356.872</v>
      </c>
      <c r="T312" s="36" t="n">
        <v>51350.566</v>
      </c>
      <c r="U312" s="36" t="n">
        <v>-20967.264</v>
      </c>
      <c r="V312" s="36" t="n">
        <v>-20967.264</v>
      </c>
      <c r="W312" s="36" t="n">
        <v>0</v>
      </c>
    </row>
    <row r="313">
      <c r="A313" s="37" t="inlineStr">
        <is>
          <t>2020-09</t>
        </is>
      </c>
      <c r="B313" s="37" t="n">
        <v>2020</v>
      </c>
      <c r="C313" s="37" t="n">
        <v>9</v>
      </c>
      <c r="D313" s="38" t="n">
        <v>75015.31</v>
      </c>
      <c r="E313" s="38" t="n">
        <v>7664.07</v>
      </c>
      <c r="F313" s="38" t="n">
        <v>-100370.681</v>
      </c>
      <c r="G313" s="38" t="n">
        <v>-80451.446</v>
      </c>
      <c r="H313" s="38" t="n">
        <v>-19919.235</v>
      </c>
      <c r="I313" s="38" t="n">
        <v>9652.499</v>
      </c>
      <c r="J313" s="38" t="n">
        <v/>
      </c>
      <c r="K313" s="38" t="n">
        <v/>
      </c>
      <c r="L313" s="38" t="n">
        <v/>
      </c>
      <c r="M313" s="38" t="n">
        <v/>
      </c>
      <c r="N313" s="38" t="n">
        <v>-0.064</v>
      </c>
      <c r="O313" s="38" t="n">
        <v>12892.17</v>
      </c>
      <c r="P313" s="38" t="n">
        <v>2123.987</v>
      </c>
      <c r="Q313" s="38" t="n">
        <v>-947.741</v>
      </c>
      <c r="R313" s="38" t="n">
        <v>408736.99</v>
      </c>
      <c r="S313" s="38" t="n">
        <v>354308.092</v>
      </c>
      <c r="T313" s="38" t="n">
        <v>54428.898</v>
      </c>
      <c r="U313" s="38" t="n">
        <v>6029.552</v>
      </c>
      <c r="V313" s="38" t="n">
        <v>6029.55</v>
      </c>
      <c r="W313" s="38" t="n">
        <v>-0.002</v>
      </c>
    </row>
    <row r="314">
      <c r="A314" s="35" t="inlineStr">
        <is>
          <t>2020-10</t>
        </is>
      </c>
      <c r="B314" s="35" t="n">
        <v>2020</v>
      </c>
      <c r="C314" s="35" t="n">
        <v>10</v>
      </c>
      <c r="D314" s="36" t="n">
        <v>17370.432</v>
      </c>
      <c r="E314" s="36" t="n">
        <v>-7942.746</v>
      </c>
      <c r="F314" s="36" t="n">
        <v>9915.691999999999</v>
      </c>
      <c r="G314" s="36" t="n">
        <v>-71371.49099999999</v>
      </c>
      <c r="H314" s="36" t="n">
        <v>81287.183</v>
      </c>
      <c r="I314" s="36" t="n">
        <v>-3894.009</v>
      </c>
      <c r="J314" s="36" t="n">
        <v/>
      </c>
      <c r="K314" s="36" t="n">
        <v/>
      </c>
      <c r="L314" s="36" t="n">
        <v/>
      </c>
      <c r="M314" s="36" t="n">
        <v/>
      </c>
      <c r="N314" s="36" t="n">
        <v>-0.029</v>
      </c>
      <c r="O314" s="36" t="n">
        <v>7034.009</v>
      </c>
      <c r="P314" s="36" t="n">
        <v>1671.63</v>
      </c>
      <c r="Q314" s="36" t="n">
        <v>-5071.563</v>
      </c>
      <c r="R314" s="36" t="n">
        <v>427820.406</v>
      </c>
      <c r="S314" s="36" t="n">
        <v>356836.332</v>
      </c>
      <c r="T314" s="36" t="n">
        <v>70984.07399999999</v>
      </c>
      <c r="U314" s="36" t="n">
        <v>19083.416</v>
      </c>
      <c r="V314" s="36" t="n">
        <v>19083.416</v>
      </c>
      <c r="W314" s="36" t="n">
        <v>0</v>
      </c>
    </row>
    <row r="315">
      <c r="A315" s="37" t="inlineStr">
        <is>
          <t>2020-11</t>
        </is>
      </c>
      <c r="B315" s="37" t="n">
        <v>2020</v>
      </c>
      <c r="C315" s="37" t="n">
        <v>11</v>
      </c>
      <c r="D315" s="38" t="n">
        <v>9619.647999999999</v>
      </c>
      <c r="E315" s="38" t="n">
        <v>-1909.49</v>
      </c>
      <c r="F315" s="38" t="n">
        <v>12798.996</v>
      </c>
      <c r="G315" s="38" t="n">
        <v>-136096.203</v>
      </c>
      <c r="H315" s="38" t="n">
        <v>148895.199</v>
      </c>
      <c r="I315" s="38" t="n">
        <v>940.865</v>
      </c>
      <c r="J315" s="38" t="n">
        <v/>
      </c>
      <c r="K315" s="38" t="n">
        <v/>
      </c>
      <c r="L315" s="38" t="n">
        <v/>
      </c>
      <c r="M315" s="38" t="n">
        <v/>
      </c>
      <c r="N315" s="38" t="n">
        <v>1.899</v>
      </c>
      <c r="O315" s="38" t="n">
        <v>-25270.557</v>
      </c>
      <c r="P315" s="38" t="n">
        <v>-2013.201</v>
      </c>
      <c r="Q315" s="38" t="n">
        <v>-4309.021</v>
      </c>
      <c r="R315" s="38" t="n">
        <v>417679.545</v>
      </c>
      <c r="S315" s="38" t="n">
        <v>359042.563</v>
      </c>
      <c r="T315" s="38" t="n">
        <v>58636.983</v>
      </c>
      <c r="U315" s="38" t="n">
        <v>-10140.861</v>
      </c>
      <c r="V315" s="38" t="n">
        <v>-10140.861</v>
      </c>
      <c r="W315" s="38" t="n">
        <v>0</v>
      </c>
    </row>
    <row r="316">
      <c r="A316" s="35" t="inlineStr">
        <is>
          <t>2020-12</t>
        </is>
      </c>
      <c r="B316" s="35" t="n">
        <v>2020</v>
      </c>
      <c r="C316" s="35" t="n">
        <v>12</v>
      </c>
      <c r="D316" s="36" t="n">
        <v>25213.146</v>
      </c>
      <c r="E316" s="36" t="n">
        <v>-12809.786</v>
      </c>
      <c r="F316" s="36" t="n">
        <v>-19509.913</v>
      </c>
      <c r="G316" s="36" t="n">
        <v>-179441.373</v>
      </c>
      <c r="H316" s="36" t="n">
        <v>159931.46</v>
      </c>
      <c r="I316" s="36" t="n">
        <v>3009.625</v>
      </c>
      <c r="J316" s="36" t="n">
        <v/>
      </c>
      <c r="K316" s="36" t="n">
        <v/>
      </c>
      <c r="L316" s="36" t="n">
        <v/>
      </c>
      <c r="M316" s="36" t="n">
        <v/>
      </c>
      <c r="N316" s="36" t="n">
        <v>2.383</v>
      </c>
      <c r="O316" s="36" t="n">
        <v>-8028.787</v>
      </c>
      <c r="P316" s="36" t="n">
        <v>27816.1</v>
      </c>
      <c r="Q316" s="36" t="n">
        <v>-1835.66</v>
      </c>
      <c r="R316" s="36" t="n">
        <v>431536.653</v>
      </c>
      <c r="S316" s="36" t="n">
        <v>370441.036</v>
      </c>
      <c r="T316" s="36" t="n">
        <v>61095.617</v>
      </c>
      <c r="U316" s="36" t="n">
        <v>13857.108</v>
      </c>
      <c r="V316" s="36" t="n">
        <v>13857.108</v>
      </c>
      <c r="W316" s="36" t="n">
        <v>0</v>
      </c>
    </row>
    <row r="317">
      <c r="A317" s="37" t="inlineStr">
        <is>
          <t>2021-01</t>
        </is>
      </c>
      <c r="B317" s="37" t="n">
        <v>2021</v>
      </c>
      <c r="C317" s="37" t="n">
        <v>1</v>
      </c>
      <c r="D317" s="38" t="n">
        <v>2567.309</v>
      </c>
      <c r="E317" s="38" t="n">
        <v>248.163</v>
      </c>
      <c r="F317" s="38" t="n">
        <v>-18735.03</v>
      </c>
      <c r="G317" s="38" t="n">
        <v>-25041.51</v>
      </c>
      <c r="H317" s="38" t="n">
        <v>6306.48</v>
      </c>
      <c r="I317" s="38" t="n">
        <v>-598.585</v>
      </c>
      <c r="J317" s="38" t="n">
        <v/>
      </c>
      <c r="K317" s="38" t="n">
        <v/>
      </c>
      <c r="L317" s="38" t="n">
        <v/>
      </c>
      <c r="M317" s="38" t="n">
        <v/>
      </c>
      <c r="N317" s="38" t="n">
        <v>-2.301</v>
      </c>
      <c r="O317" s="38" t="n">
        <v>16337.941</v>
      </c>
      <c r="P317" s="38" t="n">
        <v>-170.953</v>
      </c>
      <c r="Q317" s="38" t="n">
        <v>2407.301</v>
      </c>
      <c r="R317" s="38" t="n">
        <v>433590.499</v>
      </c>
      <c r="S317" s="38" t="n">
        <v>363537.625</v>
      </c>
      <c r="T317" s="38" t="n">
        <v>70052.874</v>
      </c>
      <c r="U317" s="38" t="n">
        <v>2053.846</v>
      </c>
      <c r="V317" s="38" t="n">
        <v>2053.845</v>
      </c>
      <c r="W317" s="38" t="n">
        <v>-0.001</v>
      </c>
    </row>
    <row r="318">
      <c r="A318" s="35" t="inlineStr">
        <is>
          <t>2021-02</t>
        </is>
      </c>
      <c r="B318" s="35" t="n">
        <v>2021</v>
      </c>
      <c r="C318" s="35" t="n">
        <v>2</v>
      </c>
      <c r="D318" s="36" t="n">
        <v>-14674.381</v>
      </c>
      <c r="E318" s="36" t="n">
        <v>13835.361</v>
      </c>
      <c r="F318" s="36" t="n">
        <v>-30211.357</v>
      </c>
      <c r="G318" s="36" t="n">
        <v>-106008.739</v>
      </c>
      <c r="H318" s="36" t="n">
        <v>75797.382</v>
      </c>
      <c r="I318" s="36" t="n">
        <v>5363.311</v>
      </c>
      <c r="J318" s="36" t="n">
        <v/>
      </c>
      <c r="K318" s="36" t="n">
        <v/>
      </c>
      <c r="L318" s="36" t="n">
        <v/>
      </c>
      <c r="M318" s="36" t="n">
        <v/>
      </c>
      <c r="N318" s="36" t="n">
        <v>4.974</v>
      </c>
      <c r="O318" s="36" t="n">
        <v>5080.882</v>
      </c>
      <c r="P318" s="36" t="n">
        <v>-2994.069</v>
      </c>
      <c r="Q318" s="36" t="n">
        <v>1415.782</v>
      </c>
      <c r="R318" s="36" t="n">
        <v>411411.002</v>
      </c>
      <c r="S318" s="36" t="n">
        <v>350885.762</v>
      </c>
      <c r="T318" s="36" t="n">
        <v>60525.239</v>
      </c>
      <c r="U318" s="36" t="n">
        <v>-22179.497</v>
      </c>
      <c r="V318" s="36" t="n">
        <v>-22179.497</v>
      </c>
      <c r="W318" s="36" t="n">
        <v>0</v>
      </c>
    </row>
    <row r="319">
      <c r="A319" s="37" t="inlineStr">
        <is>
          <t>2021-03</t>
        </is>
      </c>
      <c r="B319" s="37" t="n">
        <v>2021</v>
      </c>
      <c r="C319" s="37" t="n">
        <v>3</v>
      </c>
      <c r="D319" s="38" t="n">
        <v>-45810.944</v>
      </c>
      <c r="E319" s="38" t="n">
        <v>-45608.426</v>
      </c>
      <c r="F319" s="38" t="n">
        <v>75456.236</v>
      </c>
      <c r="G319" s="38" t="n">
        <v>3100.995</v>
      </c>
      <c r="H319" s="38" t="n">
        <v>72355.24099999999</v>
      </c>
      <c r="I319" s="38" t="n">
        <v>-927.654</v>
      </c>
      <c r="J319" s="38" t="n">
        <v/>
      </c>
      <c r="K319" s="38" t="n">
        <v/>
      </c>
      <c r="L319" s="38" t="n">
        <v/>
      </c>
      <c r="M319" s="38" t="n">
        <v/>
      </c>
      <c r="N319" s="38" t="n">
        <v>-4.901</v>
      </c>
      <c r="O319" s="38" t="n">
        <v>16586.277</v>
      </c>
      <c r="P319" s="38" t="n">
        <v>-1610.81</v>
      </c>
      <c r="Q319" s="38" t="n">
        <v>-3860.498</v>
      </c>
      <c r="R319" s="38" t="n">
        <v>405630.283</v>
      </c>
      <c r="S319" s="38" t="n">
        <v>343090.507</v>
      </c>
      <c r="T319" s="38" t="n">
        <v>62539.776</v>
      </c>
      <c r="U319" s="38" t="n">
        <v>-5780.719</v>
      </c>
      <c r="V319" s="38" t="n">
        <v>-5780.72</v>
      </c>
      <c r="W319" s="38" t="n">
        <v>-0.001</v>
      </c>
    </row>
    <row r="320">
      <c r="A320" s="35" t="inlineStr">
        <is>
          <t>2021-04</t>
        </is>
      </c>
      <c r="B320" s="35" t="n">
        <v>2021</v>
      </c>
      <c r="C320" s="35" t="n">
        <v>4</v>
      </c>
      <c r="D320" s="36" t="n">
        <v>-5401.4</v>
      </c>
      <c r="E320" s="36" t="n">
        <v>9365.207</v>
      </c>
      <c r="F320" s="36" t="n">
        <v>51170.834</v>
      </c>
      <c r="G320" s="36" t="n">
        <v>161433.91</v>
      </c>
      <c r="H320" s="36" t="n">
        <v>-110263.076</v>
      </c>
      <c r="I320" s="36" t="n">
        <v>-865.522</v>
      </c>
      <c r="J320" s="36" t="n">
        <v/>
      </c>
      <c r="K320" s="36" t="n">
        <v/>
      </c>
      <c r="L320" s="36" t="n">
        <v/>
      </c>
      <c r="M320" s="36" t="n">
        <v/>
      </c>
      <c r="N320" s="36" t="n">
        <v>-0.006</v>
      </c>
      <c r="O320" s="36" t="n">
        <v>-30364.936</v>
      </c>
      <c r="P320" s="36" t="n">
        <v>-6675.154</v>
      </c>
      <c r="Q320" s="36" t="n">
        <v>-2711.286</v>
      </c>
      <c r="R320" s="36" t="n">
        <v>420148.02</v>
      </c>
      <c r="S320" s="36" t="n">
        <v>339898.271</v>
      </c>
      <c r="T320" s="36" t="n">
        <v>80249.749</v>
      </c>
      <c r="U320" s="36" t="n">
        <v>14517.737</v>
      </c>
      <c r="V320" s="36" t="n">
        <v>14517.737</v>
      </c>
      <c r="W320" s="36" t="n">
        <v>0</v>
      </c>
    </row>
    <row r="321">
      <c r="A321" s="37" t="inlineStr">
        <is>
          <t>2021-05</t>
        </is>
      </c>
      <c r="B321" s="37" t="n">
        <v>2021</v>
      </c>
      <c r="C321" s="37" t="n">
        <v>5</v>
      </c>
      <c r="D321" s="38" t="n">
        <v>9160.129000000001</v>
      </c>
      <c r="E321" s="38" t="n">
        <v>4574.59</v>
      </c>
      <c r="F321" s="38" t="n">
        <v>-12664.759</v>
      </c>
      <c r="G321" s="38" t="n">
        <v>-57069.682</v>
      </c>
      <c r="H321" s="38" t="n">
        <v>44404.923</v>
      </c>
      <c r="I321" s="38" t="n">
        <v>2050.809</v>
      </c>
      <c r="J321" s="38" t="n">
        <v/>
      </c>
      <c r="K321" s="38" t="n">
        <v/>
      </c>
      <c r="L321" s="38" t="n">
        <v/>
      </c>
      <c r="M321" s="38" t="n">
        <v/>
      </c>
      <c r="N321" s="38" t="n">
        <v>-1.971</v>
      </c>
      <c r="O321" s="38" t="n">
        <v>-10957.289</v>
      </c>
      <c r="P321" s="38" t="n">
        <v>-5827.488</v>
      </c>
      <c r="Q321" s="38" t="n">
        <v>-2954.046</v>
      </c>
      <c r="R321" s="38" t="n">
        <v>403527.996</v>
      </c>
      <c r="S321" s="38" t="n">
        <v>337274.879</v>
      </c>
      <c r="T321" s="38" t="n">
        <v>66253.117</v>
      </c>
      <c r="U321" s="38" t="n">
        <v>-16620.024</v>
      </c>
      <c r="V321" s="38" t="n">
        <v>-16620.025</v>
      </c>
      <c r="W321" s="38" t="n">
        <v>-0.001</v>
      </c>
    </row>
    <row r="322">
      <c r="A322" s="35" t="inlineStr">
        <is>
          <t>2021-06</t>
        </is>
      </c>
      <c r="B322" s="35" t="n">
        <v>2021</v>
      </c>
      <c r="C322" s="35" t="n">
        <v>6</v>
      </c>
      <c r="D322" s="36" t="n">
        <v>55383.847</v>
      </c>
      <c r="E322" s="36" t="n">
        <v>5382.828</v>
      </c>
      <c r="F322" s="36" t="n">
        <v>-11327.766</v>
      </c>
      <c r="G322" s="36" t="n">
        <v>-130783.591</v>
      </c>
      <c r="H322" s="36" t="n">
        <v>119455.825</v>
      </c>
      <c r="I322" s="36" t="n">
        <v>-3485.709</v>
      </c>
      <c r="J322" s="36" t="n">
        <v/>
      </c>
      <c r="K322" s="36" t="n">
        <v/>
      </c>
      <c r="L322" s="36" t="n">
        <v/>
      </c>
      <c r="M322" s="36" t="n">
        <v/>
      </c>
      <c r="N322" s="36" t="n">
        <v>-0.674</v>
      </c>
      <c r="O322" s="36" t="n">
        <v>-21657.589</v>
      </c>
      <c r="P322" s="36" t="n">
        <v>-3725.685</v>
      </c>
      <c r="Q322" s="36" t="n">
        <v>-1885.126</v>
      </c>
      <c r="R322" s="36" t="n">
        <v>422212.123</v>
      </c>
      <c r="S322" s="36" t="n">
        <v>340095.553</v>
      </c>
      <c r="T322" s="36" t="n">
        <v>82116.571</v>
      </c>
      <c r="U322" s="36" t="n">
        <v>18684.127</v>
      </c>
      <c r="V322" s="36" t="n">
        <v>18684.126</v>
      </c>
      <c r="W322" s="36" t="n">
        <v>-0.001</v>
      </c>
    </row>
    <row r="323">
      <c r="A323" s="37" t="inlineStr">
        <is>
          <t>2021-07</t>
        </is>
      </c>
      <c r="B323" s="37" t="n">
        <v>2021</v>
      </c>
      <c r="C323" s="37" t="n">
        <v>7</v>
      </c>
      <c r="D323" s="38" t="n">
        <v>22545.412</v>
      </c>
      <c r="E323" s="38" t="n">
        <v>6068.126</v>
      </c>
      <c r="F323" s="38" t="n">
        <v>-9746.299999999999</v>
      </c>
      <c r="G323" s="38" t="n">
        <v>-7267.971</v>
      </c>
      <c r="H323" s="38" t="n">
        <v>-2478.329</v>
      </c>
      <c r="I323" s="38" t="n">
        <v>-6143.874</v>
      </c>
      <c r="J323" s="38" t="n">
        <v/>
      </c>
      <c r="K323" s="38" t="n">
        <v/>
      </c>
      <c r="L323" s="38" t="n">
        <v/>
      </c>
      <c r="M323" s="38" t="n">
        <v/>
      </c>
      <c r="N323" s="38" t="n">
        <v>19.896</v>
      </c>
      <c r="O323" s="38" t="n">
        <v>8926.824000000001</v>
      </c>
      <c r="P323" s="38" t="n">
        <v>-7879.935</v>
      </c>
      <c r="Q323" s="38" t="n">
        <v>-8044.062</v>
      </c>
      <c r="R323" s="38" t="n">
        <v>427958.21</v>
      </c>
      <c r="S323" s="38" t="n">
        <v>343812.587</v>
      </c>
      <c r="T323" s="38" t="n">
        <v>84145.62300000001</v>
      </c>
      <c r="U323" s="38" t="n">
        <v>5746.087</v>
      </c>
      <c r="V323" s="38" t="n">
        <v>5746.087</v>
      </c>
      <c r="W323" s="38" t="n">
        <v>0</v>
      </c>
    </row>
    <row r="324">
      <c r="A324" s="35" t="inlineStr">
        <is>
          <t>2021-08</t>
        </is>
      </c>
      <c r="B324" s="35" t="n">
        <v>2021</v>
      </c>
      <c r="C324" s="35" t="n">
        <v>8</v>
      </c>
      <c r="D324" s="36" t="n">
        <v>-15635.831</v>
      </c>
      <c r="E324" s="36" t="n">
        <v>431.163</v>
      </c>
      <c r="F324" s="36" t="n">
        <v>-2651.341</v>
      </c>
      <c r="G324" s="36" t="n">
        <v>-38544.588</v>
      </c>
      <c r="H324" s="36" t="n">
        <v>35893.247</v>
      </c>
      <c r="I324" s="36" t="n">
        <v>-973.491</v>
      </c>
      <c r="J324" s="36" t="n">
        <v/>
      </c>
      <c r="K324" s="36" t="n">
        <v/>
      </c>
      <c r="L324" s="36" t="n">
        <v/>
      </c>
      <c r="M324" s="36" t="n">
        <v/>
      </c>
      <c r="N324" s="36" t="n">
        <v>-20.045</v>
      </c>
      <c r="O324" s="36" t="n">
        <v>7608.992</v>
      </c>
      <c r="P324" s="36" t="n">
        <v>-7644.761</v>
      </c>
      <c r="Q324" s="36" t="n">
        <v>-2743.701</v>
      </c>
      <c r="R324" s="36" t="n">
        <v>406329.194</v>
      </c>
      <c r="S324" s="36" t="n">
        <v>341302.698</v>
      </c>
      <c r="T324" s="36" t="n">
        <v>65026.496</v>
      </c>
      <c r="U324" s="36" t="n">
        <v>-21629.016</v>
      </c>
      <c r="V324" s="36" t="n">
        <v>-21629.015</v>
      </c>
      <c r="W324" s="36" t="n">
        <v>0.001</v>
      </c>
    </row>
    <row r="325">
      <c r="A325" s="37" t="inlineStr">
        <is>
          <t>2021-09</t>
        </is>
      </c>
      <c r="B325" s="37" t="n">
        <v>2021</v>
      </c>
      <c r="C325" s="37" t="n">
        <v>9</v>
      </c>
      <c r="D325" s="38" t="n">
        <v>-2592.514</v>
      </c>
      <c r="E325" s="38" t="n">
        <v>5862.604</v>
      </c>
      <c r="F325" s="38" t="n">
        <v>-18709.379</v>
      </c>
      <c r="G325" s="38" t="n">
        <v>93439.042</v>
      </c>
      <c r="H325" s="38" t="n">
        <v>-112148.421</v>
      </c>
      <c r="I325" s="38" t="n">
        <v>262.873</v>
      </c>
      <c r="J325" s="38" t="n">
        <v/>
      </c>
      <c r="K325" s="38" t="n">
        <v/>
      </c>
      <c r="L325" s="38" t="n">
        <v/>
      </c>
      <c r="M325" s="38" t="n">
        <v/>
      </c>
      <c r="N325" s="38" t="n">
        <v>-0.025</v>
      </c>
      <c r="O325" s="38" t="n">
        <v>16812.312</v>
      </c>
      <c r="P325" s="38" t="n">
        <v>-3663.538</v>
      </c>
      <c r="Q325" s="38" t="n">
        <v>-625.193</v>
      </c>
      <c r="R325" s="38" t="n">
        <v>403676.335</v>
      </c>
      <c r="S325" s="38" t="n">
        <v>336844.324</v>
      </c>
      <c r="T325" s="38" t="n">
        <v>66832.011</v>
      </c>
      <c r="U325" s="38" t="n">
        <v>-2652.859</v>
      </c>
      <c r="V325" s="38" t="n">
        <v>-2652.86</v>
      </c>
      <c r="W325" s="38" t="n">
        <v>-0.001</v>
      </c>
    </row>
    <row r="326">
      <c r="A326" s="35" t="inlineStr">
        <is>
          <t>2021-10</t>
        </is>
      </c>
      <c r="B326" s="35" t="n">
        <v>2021</v>
      </c>
      <c r="C326" s="35" t="n">
        <v>10</v>
      </c>
      <c r="D326" s="36" t="n">
        <v>-10974.869</v>
      </c>
      <c r="E326" s="36" t="n">
        <v>-2347.501</v>
      </c>
      <c r="F326" s="36" t="n">
        <v>-115.423</v>
      </c>
      <c r="G326" s="36" t="n">
        <v>122935.909</v>
      </c>
      <c r="H326" s="36" t="n">
        <v>-123051.332</v>
      </c>
      <c r="I326" s="36" t="n">
        <v>-748.697</v>
      </c>
      <c r="J326" s="36" t="n">
        <v/>
      </c>
      <c r="K326" s="36" t="n">
        <v/>
      </c>
      <c r="L326" s="36" t="n">
        <v/>
      </c>
      <c r="M326" s="36" t="n">
        <v/>
      </c>
      <c r="N326" s="36" t="n">
        <v>30.012</v>
      </c>
      <c r="O326" s="36" t="n">
        <v>12933.453</v>
      </c>
      <c r="P326" s="36" t="n">
        <v>-8038.669</v>
      </c>
      <c r="Q326" s="36" t="n">
        <v>1794.24</v>
      </c>
      <c r="R326" s="36" t="n">
        <v>396208.882</v>
      </c>
      <c r="S326" s="36" t="n">
        <v>331653.831</v>
      </c>
      <c r="T326" s="36" t="n">
        <v>64555.051</v>
      </c>
      <c r="U326" s="36" t="n">
        <v>-7467.453</v>
      </c>
      <c r="V326" s="36" t="n">
        <v>-7467.454</v>
      </c>
      <c r="W326" s="36" t="n">
        <v>-0.001</v>
      </c>
    </row>
    <row r="327">
      <c r="A327" s="37" t="inlineStr">
        <is>
          <t>2021-11</t>
        </is>
      </c>
      <c r="B327" s="37" t="n">
        <v>2021</v>
      </c>
      <c r="C327" s="37" t="n">
        <v>11</v>
      </c>
      <c r="D327" s="38" t="n">
        <v>-32973.411</v>
      </c>
      <c r="E327" s="38" t="n">
        <v>590.615</v>
      </c>
      <c r="F327" s="38" t="n">
        <v>83963.27499999999</v>
      </c>
      <c r="G327" s="38" t="n">
        <v>-75991.348</v>
      </c>
      <c r="H327" s="38" t="n">
        <v>159954.623</v>
      </c>
      <c r="I327" s="38" t="n">
        <v>-20239.976</v>
      </c>
      <c r="J327" s="38" t="n">
        <v/>
      </c>
      <c r="K327" s="38" t="n">
        <v/>
      </c>
      <c r="L327" s="38" t="n">
        <v/>
      </c>
      <c r="M327" s="38" t="n">
        <v/>
      </c>
      <c r="N327" s="38" t="n">
        <v>-30.163</v>
      </c>
      <c r="O327" s="38" t="n">
        <v>-2966.765</v>
      </c>
      <c r="P327" s="38" t="n">
        <v>-9303.989</v>
      </c>
      <c r="Q327" s="38" t="n">
        <v>-1976.803</v>
      </c>
      <c r="R327" s="38" t="n">
        <v>413271.664</v>
      </c>
      <c r="S327" s="38" t="n">
        <v>330208.515</v>
      </c>
      <c r="T327" s="38" t="n">
        <v>83063.149</v>
      </c>
      <c r="U327" s="38" t="n">
        <v>17062.782</v>
      </c>
      <c r="V327" s="38" t="n">
        <v>17062.783</v>
      </c>
      <c r="W327" s="38" t="n">
        <v>0.001</v>
      </c>
    </row>
    <row r="328">
      <c r="A328" s="35" t="inlineStr">
        <is>
          <t>2021-12</t>
        </is>
      </c>
      <c r="B328" s="35" t="n">
        <v>2021</v>
      </c>
      <c r="C328" s="35" t="n">
        <v>12</v>
      </c>
      <c r="D328" s="36" t="n">
        <v>-42883.828</v>
      </c>
      <c r="E328" s="36" t="n">
        <v>-35033.5</v>
      </c>
      <c r="F328" s="36" t="n">
        <v>76002.281</v>
      </c>
      <c r="G328" s="36" t="n">
        <v>-61753.191</v>
      </c>
      <c r="H328" s="36" t="n">
        <v>137755.472</v>
      </c>
      <c r="I328" s="36" t="n">
        <v>246.624</v>
      </c>
      <c r="J328" s="36" t="n">
        <v/>
      </c>
      <c r="K328" s="36" t="n">
        <v/>
      </c>
      <c r="L328" s="36" t="n">
        <v/>
      </c>
      <c r="M328" s="36" t="n">
        <v/>
      </c>
      <c r="N328" s="36" t="n">
        <v>50.194</v>
      </c>
      <c r="O328" s="36" t="n">
        <v>3983.847</v>
      </c>
      <c r="P328" s="36" t="n">
        <v>4765.473</v>
      </c>
      <c r="Q328" s="36" t="n">
        <v>-11219.235</v>
      </c>
      <c r="R328" s="36" t="n">
        <v>409183.519</v>
      </c>
      <c r="S328" s="36" t="n">
        <v>339013.043</v>
      </c>
      <c r="T328" s="36" t="n">
        <v>70170.476</v>
      </c>
      <c r="U328" s="36" t="n">
        <v>-4088.145</v>
      </c>
      <c r="V328" s="36" t="n">
        <v>-4088.144</v>
      </c>
      <c r="W328" s="36" t="n">
        <v>0.001</v>
      </c>
    </row>
    <row r="329">
      <c r="A329" s="37" t="inlineStr">
        <is>
          <t>2022-01</t>
        </is>
      </c>
      <c r="B329" s="37" t="n">
        <v>2022</v>
      </c>
      <c r="C329" s="37" t="n">
        <v>1</v>
      </c>
      <c r="D329" s="38" t="n">
        <v>7464.46</v>
      </c>
      <c r="E329" s="38" t="n">
        <v>330.191</v>
      </c>
      <c r="F329" s="38" t="n">
        <v>13571.048</v>
      </c>
      <c r="G329" s="38" t="n">
        <v>26273.873</v>
      </c>
      <c r="H329" s="38" t="n">
        <v>-12702.825</v>
      </c>
      <c r="I329" s="38" t="n">
        <v>2433.947</v>
      </c>
      <c r="J329" s="38" t="n">
        <v/>
      </c>
      <c r="K329" s="38" t="n">
        <v/>
      </c>
      <c r="L329" s="38" t="n">
        <v/>
      </c>
      <c r="M329" s="38" t="n">
        <v/>
      </c>
      <c r="N329" s="38" t="n">
        <v>-44.576</v>
      </c>
      <c r="O329" s="38" t="n">
        <v>-31889.594</v>
      </c>
      <c r="P329" s="38" t="n">
        <v>12900</v>
      </c>
      <c r="Q329" s="38" t="n">
        <v>4027.201</v>
      </c>
      <c r="R329" s="38" t="n">
        <v>417976.196</v>
      </c>
      <c r="S329" s="38" t="n">
        <v>328559.89</v>
      </c>
      <c r="T329" s="38" t="n">
        <v>89416.306</v>
      </c>
      <c r="U329" s="38" t="n">
        <v>8792.677</v>
      </c>
      <c r="V329" s="38" t="n">
        <v>8792.677</v>
      </c>
      <c r="W329" s="38" t="n">
        <v>0</v>
      </c>
    </row>
    <row r="330">
      <c r="A330" s="35" t="inlineStr">
        <is>
          <t>2022-02</t>
        </is>
      </c>
      <c r="B330" s="35" t="n">
        <v>2022</v>
      </c>
      <c r="C330" s="35" t="n">
        <v>2</v>
      </c>
      <c r="D330" s="36" t="n">
        <v>-27808.602</v>
      </c>
      <c r="E330" s="36" t="n">
        <v>6184.942</v>
      </c>
      <c r="F330" s="36" t="n">
        <v>10323.072</v>
      </c>
      <c r="G330" s="36" t="n">
        <v>-76766.999</v>
      </c>
      <c r="H330" s="36" t="n">
        <v>87090.071</v>
      </c>
      <c r="I330" s="36" t="n">
        <v>9924.203</v>
      </c>
      <c r="J330" s="36" t="n">
        <v/>
      </c>
      <c r="K330" s="36" t="n">
        <v/>
      </c>
      <c r="L330" s="36" t="n">
        <v/>
      </c>
      <c r="M330" s="36" t="n">
        <v/>
      </c>
      <c r="N330" s="36" t="n">
        <v>174.492</v>
      </c>
      <c r="O330" s="36" t="n">
        <v>-28393.819</v>
      </c>
      <c r="P330" s="36" t="n">
        <v>17950</v>
      </c>
      <c r="Q330" s="36" t="n">
        <v>-4158.476</v>
      </c>
      <c r="R330" s="36" t="n">
        <v>402172.008</v>
      </c>
      <c r="S330" s="36" t="n">
        <v>326643.507</v>
      </c>
      <c r="T330" s="36" t="n">
        <v>75528.501</v>
      </c>
      <c r="U330" s="36" t="n">
        <v>-15804.188</v>
      </c>
      <c r="V330" s="36" t="n">
        <v>-15804.188</v>
      </c>
      <c r="W330" s="36" t="n">
        <v>0</v>
      </c>
    </row>
    <row r="331">
      <c r="A331" s="37" t="inlineStr">
        <is>
          <t>2022-03</t>
        </is>
      </c>
      <c r="B331" s="37" t="n">
        <v>2022</v>
      </c>
      <c r="C331" s="37" t="n">
        <v>3</v>
      </c>
      <c r="D331" s="38" t="n">
        <v>-16135.009</v>
      </c>
      <c r="E331" s="38" t="n">
        <v>483.827</v>
      </c>
      <c r="F331" s="38" t="n">
        <v>40676.784</v>
      </c>
      <c r="G331" s="38" t="n">
        <v>209093.184</v>
      </c>
      <c r="H331" s="38" t="n">
        <v>-168416.4</v>
      </c>
      <c r="I331" s="38" t="n">
        <v>-7544.015</v>
      </c>
      <c r="J331" s="38" t="n">
        <v/>
      </c>
      <c r="K331" s="38" t="n">
        <v/>
      </c>
      <c r="L331" s="38" t="n">
        <v/>
      </c>
      <c r="M331" s="38" t="n">
        <v/>
      </c>
      <c r="N331" s="38" t="n">
        <v>-181.38</v>
      </c>
      <c r="O331" s="38" t="n">
        <v>-40346.263</v>
      </c>
      <c r="P331" s="38" t="n">
        <v>9926.389999999999</v>
      </c>
      <c r="Q331" s="38" t="n">
        <v>-3154.999</v>
      </c>
      <c r="R331" s="38" t="n">
        <v>385897.343</v>
      </c>
      <c r="S331" s="38" t="n">
        <v>320815.982</v>
      </c>
      <c r="T331" s="38" t="n">
        <v>65081.361</v>
      </c>
      <c r="U331" s="38" t="n">
        <v>-16274.665</v>
      </c>
      <c r="V331" s="38" t="n">
        <v>-16274.665</v>
      </c>
      <c r="W331" s="38" t="n">
        <v>0</v>
      </c>
    </row>
    <row r="332">
      <c r="A332" s="35" t="inlineStr">
        <is>
          <t>2022-04</t>
        </is>
      </c>
      <c r="B332" s="35" t="n">
        <v>2022</v>
      </c>
      <c r="C332" s="35" t="n">
        <v>4</v>
      </c>
      <c r="D332" s="36" t="n">
        <v>2278.695</v>
      </c>
      <c r="E332" s="36" t="n">
        <v>473.886</v>
      </c>
      <c r="F332" s="36" t="n">
        <v>9205.904</v>
      </c>
      <c r="G332" s="36" t="n">
        <v>39368.487</v>
      </c>
      <c r="H332" s="36" t="n">
        <v>-30162.583</v>
      </c>
      <c r="I332" s="36" t="n">
        <v>-10755.868</v>
      </c>
      <c r="J332" s="36" t="n">
        <v/>
      </c>
      <c r="K332" s="36" t="n">
        <v/>
      </c>
      <c r="L332" s="36" t="n">
        <v/>
      </c>
      <c r="M332" s="36" t="n">
        <v/>
      </c>
      <c r="N332" s="36" t="n">
        <v>35.829</v>
      </c>
      <c r="O332" s="36" t="n">
        <v>15376.482</v>
      </c>
      <c r="P332" s="36" t="n">
        <v>-406.056</v>
      </c>
      <c r="Q332" s="36" t="n">
        <v>-5595.721</v>
      </c>
      <c r="R332" s="36" t="n">
        <v>396510.494</v>
      </c>
      <c r="S332" s="36" t="n">
        <v>320540.783</v>
      </c>
      <c r="T332" s="36" t="n">
        <v>75969.711</v>
      </c>
      <c r="U332" s="36" t="n">
        <v>10613.151</v>
      </c>
      <c r="V332" s="36" t="n">
        <v>10613.151</v>
      </c>
      <c r="W332" s="36" t="n">
        <v>0</v>
      </c>
    </row>
    <row r="333">
      <c r="A333" s="37" t="inlineStr">
        <is>
          <t>2022-05</t>
        </is>
      </c>
      <c r="B333" s="37" t="n">
        <v>2022</v>
      </c>
      <c r="C333" s="37" t="n">
        <v>5</v>
      </c>
      <c r="D333" s="38" t="n">
        <v>10917.651</v>
      </c>
      <c r="E333" s="38" t="n">
        <v>496.008</v>
      </c>
      <c r="F333" s="38" t="n">
        <v>30716.582</v>
      </c>
      <c r="G333" s="38" t="n">
        <v>-59532.336</v>
      </c>
      <c r="H333" s="38" t="n">
        <v>90248.91800000001</v>
      </c>
      <c r="I333" s="38" t="n">
        <v>-4097.928</v>
      </c>
      <c r="J333" s="38" t="n">
        <v/>
      </c>
      <c r="K333" s="38" t="n">
        <v/>
      </c>
      <c r="L333" s="38" t="n">
        <v/>
      </c>
      <c r="M333" s="38" t="n">
        <v/>
      </c>
      <c r="N333" s="38" t="n">
        <v>-21.091</v>
      </c>
      <c r="O333" s="38" t="n">
        <v>-26656.006</v>
      </c>
      <c r="P333" s="38" t="n">
        <v>-3178.593</v>
      </c>
      <c r="Q333" s="38" t="n">
        <v>-6496.374</v>
      </c>
      <c r="R333" s="38" t="n">
        <v>398190.743</v>
      </c>
      <c r="S333" s="38" t="n">
        <v>326467.034</v>
      </c>
      <c r="T333" s="38" t="n">
        <v>71723.71000000001</v>
      </c>
      <c r="U333" s="38" t="n">
        <v>1680.249</v>
      </c>
      <c r="V333" s="38" t="n">
        <v>1680.249</v>
      </c>
      <c r="W333" s="38" t="n">
        <v>0</v>
      </c>
    </row>
    <row r="334">
      <c r="A334" s="35" t="inlineStr">
        <is>
          <t>2022-06</t>
        </is>
      </c>
      <c r="B334" s="35" t="n">
        <v>2022</v>
      </c>
      <c r="C334" s="35" t="n">
        <v>6</v>
      </c>
      <c r="D334" s="36" t="n">
        <v>-25908.339</v>
      </c>
      <c r="E334" s="36" t="n">
        <v>412.952</v>
      </c>
      <c r="F334" s="36" t="n">
        <v>38045.338</v>
      </c>
      <c r="G334" s="36" t="n">
        <v>-58467.474</v>
      </c>
      <c r="H334" s="36" t="n">
        <v>96512.81200000001</v>
      </c>
      <c r="I334" s="36" t="n">
        <v>-27943.355</v>
      </c>
      <c r="J334" s="36" t="n">
        <v/>
      </c>
      <c r="K334" s="36" t="n">
        <v/>
      </c>
      <c r="L334" s="36" t="n">
        <v/>
      </c>
      <c r="M334" s="36" t="n">
        <v/>
      </c>
      <c r="N334" s="36" t="n">
        <v>14.491</v>
      </c>
      <c r="O334" s="36" t="n">
        <v>39886.976</v>
      </c>
      <c r="P334" s="36" t="n">
        <v>-1075.182</v>
      </c>
      <c r="Q334" s="36" t="n">
        <v>-14454.725</v>
      </c>
      <c r="R334" s="36" t="n">
        <v>407168.9</v>
      </c>
      <c r="S334" s="36" t="n">
        <v>330152.377</v>
      </c>
      <c r="T334" s="36" t="n">
        <v>77016.523</v>
      </c>
      <c r="U334" s="36" t="n">
        <v>8978.156999999999</v>
      </c>
      <c r="V334" s="36" t="n">
        <v>8978.156000000001</v>
      </c>
      <c r="W334" s="36" t="n">
        <v>-0.001</v>
      </c>
    </row>
    <row r="335">
      <c r="A335" s="37" t="inlineStr">
        <is>
          <t>2022-07</t>
        </is>
      </c>
      <c r="B335" s="37" t="n">
        <v>2022</v>
      </c>
      <c r="C335" s="37" t="n">
        <v>7</v>
      </c>
      <c r="D335" s="38" t="n">
        <v>5465.545</v>
      </c>
      <c r="E335" s="38" t="n">
        <v>202.714</v>
      </c>
      <c r="F335" s="38" t="n">
        <v>-1215.249</v>
      </c>
      <c r="G335" s="38" t="n">
        <v>82895.63</v>
      </c>
      <c r="H335" s="38" t="n">
        <v>-84110.879</v>
      </c>
      <c r="I335" s="38" t="n">
        <v>-4511.372</v>
      </c>
      <c r="J335" s="38" t="n">
        <v/>
      </c>
      <c r="K335" s="38" t="n">
        <v/>
      </c>
      <c r="L335" s="38" t="n">
        <v/>
      </c>
      <c r="M335" s="38" t="n">
        <v/>
      </c>
      <c r="N335" s="38" t="n">
        <v>86.182</v>
      </c>
      <c r="O335" s="38" t="n">
        <v>-7469.527</v>
      </c>
      <c r="P335" s="38" t="n">
        <v>-2477.351</v>
      </c>
      <c r="Q335" s="38" t="n">
        <v>-7651.831</v>
      </c>
      <c r="R335" s="38" t="n">
        <v>389598.01</v>
      </c>
      <c r="S335" s="38" t="n">
        <v>325093.48</v>
      </c>
      <c r="T335" s="38" t="n">
        <v>64504.53</v>
      </c>
      <c r="U335" s="38" t="n">
        <v>-17570.89</v>
      </c>
      <c r="V335" s="38" t="n">
        <v>-17570.889</v>
      </c>
      <c r="W335" s="38" t="n">
        <v>0.001</v>
      </c>
    </row>
    <row r="336">
      <c r="A336" s="35" t="inlineStr">
        <is>
          <t>2022-08</t>
        </is>
      </c>
      <c r="B336" s="35" t="n">
        <v>2022</v>
      </c>
      <c r="C336" s="35" t="n">
        <v>8</v>
      </c>
      <c r="D336" s="36" t="n">
        <v>7542.313</v>
      </c>
      <c r="E336" s="36" t="n">
        <v>732.602</v>
      </c>
      <c r="F336" s="36" t="n">
        <v>29614.659</v>
      </c>
      <c r="G336" s="36" t="n">
        <v>56051.862</v>
      </c>
      <c r="H336" s="36" t="n">
        <v>-26437.203</v>
      </c>
      <c r="I336" s="36" t="n">
        <v>-20691.736</v>
      </c>
      <c r="J336" s="36" t="n">
        <v/>
      </c>
      <c r="K336" s="36" t="n">
        <v/>
      </c>
      <c r="L336" s="36" t="n">
        <v/>
      </c>
      <c r="M336" s="36" t="n">
        <v/>
      </c>
      <c r="N336" s="36" t="n">
        <v>-117.353</v>
      </c>
      <c r="O336" s="36" t="n">
        <v>-11303.003</v>
      </c>
      <c r="P336" s="36" t="n">
        <v>-735.436</v>
      </c>
      <c r="Q336" s="36" t="n">
        <v>714.539</v>
      </c>
      <c r="R336" s="36" t="n">
        <v>395354.595</v>
      </c>
      <c r="S336" s="36" t="n">
        <v>322520.909</v>
      </c>
      <c r="T336" s="36" t="n">
        <v>72833.686</v>
      </c>
      <c r="U336" s="36" t="n">
        <v>5756.585</v>
      </c>
      <c r="V336" s="36" t="n">
        <v>5756.585</v>
      </c>
      <c r="W336" s="36" t="n">
        <v>0</v>
      </c>
    </row>
    <row r="337">
      <c r="A337" s="37" t="inlineStr">
        <is>
          <t>2022-09</t>
        </is>
      </c>
      <c r="B337" s="37" t="n">
        <v>2022</v>
      </c>
      <c r="C337" s="37" t="n">
        <v>9</v>
      </c>
      <c r="D337" s="38" t="n">
        <v>-23949.037</v>
      </c>
      <c r="E337" s="38" t="n">
        <v>-15155.708</v>
      </c>
      <c r="F337" s="38" t="n">
        <v>30673.214</v>
      </c>
      <c r="G337" s="38" t="n">
        <v>73626.23299999999</v>
      </c>
      <c r="H337" s="38" t="n">
        <v>-42953.019</v>
      </c>
      <c r="I337" s="38" t="n">
        <v>-7784.65</v>
      </c>
      <c r="J337" s="38" t="n">
        <v/>
      </c>
      <c r="K337" s="38" t="n">
        <v/>
      </c>
      <c r="L337" s="38" t="n">
        <v/>
      </c>
      <c r="M337" s="38" t="n">
        <v/>
      </c>
      <c r="N337" s="38" t="n">
        <v>12.876</v>
      </c>
      <c r="O337" s="38" t="n">
        <v>24672.37</v>
      </c>
      <c r="P337" s="38" t="n">
        <v>-564.2380000000001</v>
      </c>
      <c r="Q337" s="38" t="n">
        <v>-9818.707</v>
      </c>
      <c r="R337" s="38" t="n">
        <v>393440.715</v>
      </c>
      <c r="S337" s="38" t="n">
        <v>320032.359</v>
      </c>
      <c r="T337" s="38" t="n">
        <v>73408.356</v>
      </c>
      <c r="U337" s="38" t="n">
        <v>-1913.88</v>
      </c>
      <c r="V337" s="38" t="n">
        <v>-1913.88</v>
      </c>
      <c r="W337" s="38" t="n">
        <v>0</v>
      </c>
    </row>
    <row r="338">
      <c r="A338" s="35" t="inlineStr">
        <is>
          <t>2022-10</t>
        </is>
      </c>
      <c r="B338" s="35" t="n">
        <v>2022</v>
      </c>
      <c r="C338" s="35" t="n">
        <v>10</v>
      </c>
      <c r="D338" s="36" t="n">
        <v>1196.761</v>
      </c>
      <c r="E338" s="36" t="n">
        <v>-4822.452</v>
      </c>
      <c r="F338" s="36" t="n">
        <v>15637.329</v>
      </c>
      <c r="G338" s="36" t="n">
        <v>13294.147</v>
      </c>
      <c r="H338" s="36" t="n">
        <v>2343.182</v>
      </c>
      <c r="I338" s="36" t="n">
        <v>15387.775</v>
      </c>
      <c r="J338" s="36" t="n">
        <v/>
      </c>
      <c r="K338" s="36" t="n">
        <v/>
      </c>
      <c r="L338" s="36" t="n">
        <v/>
      </c>
      <c r="M338" s="36" t="n">
        <v/>
      </c>
      <c r="N338" s="36" t="n">
        <v>-13.205</v>
      </c>
      <c r="O338" s="36" t="n">
        <v>-12764.065</v>
      </c>
      <c r="P338" s="36" t="n">
        <v>-5289.589</v>
      </c>
      <c r="Q338" s="36" t="n">
        <v>-4189.981</v>
      </c>
      <c r="R338" s="36" t="n">
        <v>398583.288</v>
      </c>
      <c r="S338" s="36" t="n">
        <v>324627.988</v>
      </c>
      <c r="T338" s="36" t="n">
        <v>73955.3</v>
      </c>
      <c r="U338" s="36" t="n">
        <v>5142.573</v>
      </c>
      <c r="V338" s="36" t="n">
        <v>5142.573</v>
      </c>
      <c r="W338" s="36" t="n">
        <v>0</v>
      </c>
    </row>
    <row r="339">
      <c r="A339" s="37" t="inlineStr">
        <is>
          <t>2022-11</t>
        </is>
      </c>
      <c r="B339" s="37" t="n">
        <v>2022</v>
      </c>
      <c r="C339" s="37" t="n">
        <v>11</v>
      </c>
      <c r="D339" s="38" t="n">
        <v>-57803.023</v>
      </c>
      <c r="E339" s="38" t="n">
        <v>581.278</v>
      </c>
      <c r="F339" s="38" t="n">
        <v>80391.86599999999</v>
      </c>
      <c r="G339" s="38" t="n">
        <v>-32422.91</v>
      </c>
      <c r="H339" s="38" t="n">
        <v>112814.776</v>
      </c>
      <c r="I339" s="38" t="n">
        <v>-11937.481</v>
      </c>
      <c r="J339" s="38" t="n">
        <v/>
      </c>
      <c r="K339" s="38" t="n">
        <v/>
      </c>
      <c r="L339" s="38" t="n">
        <v/>
      </c>
      <c r="M339" s="38" t="n">
        <v/>
      </c>
      <c r="N339" s="38" t="n">
        <v>-0.08699999999999999</v>
      </c>
      <c r="O339" s="38" t="n">
        <v>-7639.383</v>
      </c>
      <c r="P339" s="38" t="n">
        <v>-310.531</v>
      </c>
      <c r="Q339" s="38" t="n">
        <v>-10333.288</v>
      </c>
      <c r="R339" s="38" t="n">
        <v>391532.638</v>
      </c>
      <c r="S339" s="38" t="n">
        <v>327519.021</v>
      </c>
      <c r="T339" s="38" t="n">
        <v>64013.617</v>
      </c>
      <c r="U339" s="38" t="n">
        <v>-7050.65</v>
      </c>
      <c r="V339" s="38" t="n">
        <v>-7050.649</v>
      </c>
      <c r="W339" s="38" t="n">
        <v>0.001</v>
      </c>
    </row>
    <row r="340">
      <c r="A340" s="35" t="inlineStr">
        <is>
          <t>2022-12</t>
        </is>
      </c>
      <c r="B340" s="35" t="n">
        <v>2022</v>
      </c>
      <c r="C340" s="35" t="n">
        <v>12</v>
      </c>
      <c r="D340" s="36" t="n">
        <v>-35780.006</v>
      </c>
      <c r="E340" s="36" t="n">
        <v>-46541.023</v>
      </c>
      <c r="F340" s="36" t="n">
        <v>139533.68</v>
      </c>
      <c r="G340" s="36" t="n">
        <v>-22231.419</v>
      </c>
      <c r="H340" s="36" t="n">
        <v>161765.099</v>
      </c>
      <c r="I340" s="36" t="n">
        <v>13351.98</v>
      </c>
      <c r="J340" s="36" t="n">
        <v/>
      </c>
      <c r="K340" s="36" t="n">
        <v/>
      </c>
      <c r="L340" s="36" t="n">
        <v/>
      </c>
      <c r="M340" s="36" t="n">
        <v/>
      </c>
      <c r="N340" s="36" t="n">
        <v>26.424</v>
      </c>
      <c r="O340" s="36" t="n">
        <v>-5739.568</v>
      </c>
      <c r="P340" s="36" t="n">
        <v>-17642.115</v>
      </c>
      <c r="Q340" s="36" t="n">
        <v>-19082.092</v>
      </c>
      <c r="R340" s="36" t="n">
        <v>419659.918</v>
      </c>
      <c r="S340" s="36" t="n">
        <v>342334.138</v>
      </c>
      <c r="T340" s="36" t="n">
        <v>77325.78</v>
      </c>
      <c r="U340" s="36" t="n">
        <v>28127.28</v>
      </c>
      <c r="V340" s="36" t="n">
        <v>28127.28</v>
      </c>
      <c r="W340" s="36" t="n">
        <v>0</v>
      </c>
    </row>
    <row r="341">
      <c r="A341" s="37" t="inlineStr">
        <is>
          <t>2023-01</t>
        </is>
      </c>
      <c r="B341" s="37" t="n">
        <v>2023</v>
      </c>
      <c r="C341" s="37" t="n">
        <v>1</v>
      </c>
      <c r="D341" s="38" t="n">
        <v>6632.4</v>
      </c>
      <c r="E341" s="38" t="n">
        <v>3015.315</v>
      </c>
      <c r="F341" s="38" t="n">
        <v>-812.321</v>
      </c>
      <c r="G341" s="38" t="n">
        <v>211751.437</v>
      </c>
      <c r="H341" s="38" t="n">
        <v>-212563.758</v>
      </c>
      <c r="I341" s="38" t="n">
        <v>297.126</v>
      </c>
      <c r="J341" s="38" t="n">
        <v/>
      </c>
      <c r="K341" s="38" t="n">
        <v/>
      </c>
      <c r="L341" s="38" t="n">
        <v/>
      </c>
      <c r="M341" s="38" t="n">
        <v/>
      </c>
      <c r="N341" s="38" t="n">
        <v>-27.829</v>
      </c>
      <c r="O341" s="38" t="n">
        <v>-16096.031</v>
      </c>
      <c r="P341" s="38" t="n">
        <v>-11131.565</v>
      </c>
      <c r="Q341" s="38" t="n">
        <v>11952.766</v>
      </c>
      <c r="R341" s="38" t="n">
        <v>413489.78</v>
      </c>
      <c r="S341" s="38" t="n">
        <v>339228.882</v>
      </c>
      <c r="T341" s="38" t="n">
        <v>74260.899</v>
      </c>
      <c r="U341" s="38" t="n">
        <v>-6170.138</v>
      </c>
      <c r="V341" s="38" t="n">
        <v>-6170.139</v>
      </c>
      <c r="W341" s="38" t="n">
        <v>-0.001</v>
      </c>
    </row>
    <row r="342">
      <c r="A342" s="35" t="inlineStr">
        <is>
          <t>2023-02</t>
        </is>
      </c>
      <c r="B342" s="35" t="n">
        <v>2023</v>
      </c>
      <c r="C342" s="35" t="n">
        <v>2</v>
      </c>
      <c r="D342" s="36" t="n">
        <v>-11099.668</v>
      </c>
      <c r="E342" s="36" t="n">
        <v>15341.774</v>
      </c>
      <c r="F342" s="36" t="n">
        <v>-27564.178</v>
      </c>
      <c r="G342" s="36" t="n">
        <v>-34278.528</v>
      </c>
      <c r="H342" s="36" t="n">
        <v>6714.35</v>
      </c>
      <c r="I342" s="36" t="n">
        <v>18177.143</v>
      </c>
      <c r="J342" s="36" t="n">
        <v/>
      </c>
      <c r="K342" s="36" t="n">
        <v/>
      </c>
      <c r="L342" s="36" t="n">
        <v/>
      </c>
      <c r="M342" s="36" t="n">
        <v/>
      </c>
      <c r="N342" s="36" t="n">
        <v>-0.102</v>
      </c>
      <c r="O342" s="36" t="n">
        <v>4614.307</v>
      </c>
      <c r="P342" s="36" t="n">
        <v>-7598.779</v>
      </c>
      <c r="Q342" s="36" t="n">
        <v>-1790.532</v>
      </c>
      <c r="R342" s="36" t="n">
        <v>403569.746</v>
      </c>
      <c r="S342" s="36" t="n">
        <v>337989.227</v>
      </c>
      <c r="T342" s="36" t="n">
        <v>65580.519</v>
      </c>
      <c r="U342" s="36" t="n">
        <v>-9920.034</v>
      </c>
      <c r="V342" s="36" t="n">
        <v>-9920.035</v>
      </c>
      <c r="W342" s="36" t="n">
        <v>-0.001</v>
      </c>
    </row>
    <row r="343">
      <c r="A343" s="37" t="inlineStr">
        <is>
          <t>2023-03</t>
        </is>
      </c>
      <c r="B343" s="37" t="n">
        <v>2023</v>
      </c>
      <c r="C343" s="37" t="n">
        <v>3</v>
      </c>
      <c r="D343" s="38" t="n">
        <v>6949.048</v>
      </c>
      <c r="E343" s="38" t="n">
        <v>30352.627</v>
      </c>
      <c r="F343" s="38" t="n">
        <v>29887.694</v>
      </c>
      <c r="G343" s="38" t="n">
        <v>26646.007</v>
      </c>
      <c r="H343" s="38" t="n">
        <v>3241.687</v>
      </c>
      <c r="I343" s="38" t="n">
        <v>-20699.091</v>
      </c>
      <c r="J343" s="38" t="n">
        <v/>
      </c>
      <c r="K343" s="38" t="n">
        <v/>
      </c>
      <c r="L343" s="38" t="n">
        <v/>
      </c>
      <c r="M343" s="38" t="n">
        <v/>
      </c>
      <c r="N343" s="38" t="n">
        <v>10.016</v>
      </c>
      <c r="O343" s="38" t="n">
        <v>-11744.618</v>
      </c>
      <c r="P343" s="38" t="n">
        <v>-14939.861</v>
      </c>
      <c r="Q343" s="38" t="n">
        <v>-10071.175</v>
      </c>
      <c r="R343" s="38" t="n">
        <v>413314.387</v>
      </c>
      <c r="S343" s="38" t="n">
        <v>330756.428</v>
      </c>
      <c r="T343" s="38" t="n">
        <v>82557.959</v>
      </c>
      <c r="U343" s="38" t="n">
        <v>9744.641</v>
      </c>
      <c r="V343" s="38" t="n">
        <v>9744.639999999999</v>
      </c>
      <c r="W343" s="38" t="n">
        <v>-0.001</v>
      </c>
    </row>
    <row r="344">
      <c r="A344" s="35" t="inlineStr">
        <is>
          <t>2023-04</t>
        </is>
      </c>
      <c r="B344" s="35" t="n">
        <v>2023</v>
      </c>
      <c r="C344" s="35" t="n">
        <v>4</v>
      </c>
      <c r="D344" s="36" t="n">
        <v>1578.45</v>
      </c>
      <c r="E344" s="36" t="n">
        <v>14223.376</v>
      </c>
      <c r="F344" s="36" t="n">
        <v>11326.345</v>
      </c>
      <c r="G344" s="36" t="n">
        <v>-80302.395</v>
      </c>
      <c r="H344" s="36" t="n">
        <v>91628.74000000001</v>
      </c>
      <c r="I344" s="36" t="n">
        <v>-7613.203</v>
      </c>
      <c r="J344" s="36" t="n">
        <v/>
      </c>
      <c r="K344" s="36" t="n">
        <v/>
      </c>
      <c r="L344" s="36" t="n">
        <v/>
      </c>
      <c r="M344" s="36" t="n">
        <v/>
      </c>
      <c r="N344" s="36" t="n">
        <v>32.563</v>
      </c>
      <c r="O344" s="36" t="n">
        <v>-14208.837</v>
      </c>
      <c r="P344" s="36" t="n">
        <v>-63.423</v>
      </c>
      <c r="Q344" s="36" t="n">
        <v>-8239.476000000001</v>
      </c>
      <c r="R344" s="36" t="n">
        <v>410350.182</v>
      </c>
      <c r="S344" s="36" t="n">
        <v>327549.608</v>
      </c>
      <c r="T344" s="36" t="n">
        <v>82800.57399999999</v>
      </c>
      <c r="U344" s="36" t="n">
        <v>-2964.205</v>
      </c>
      <c r="V344" s="36" t="n">
        <v>-2964.205</v>
      </c>
      <c r="W344" s="36" t="n">
        <v>0</v>
      </c>
    </row>
    <row r="345">
      <c r="A345" s="37" t="inlineStr">
        <is>
          <t>2023-05</t>
        </is>
      </c>
      <c r="B345" s="37" t="n">
        <v>2023</v>
      </c>
      <c r="C345" s="37" t="n">
        <v>5</v>
      </c>
      <c r="D345" s="38" t="n">
        <v>15751.708</v>
      </c>
      <c r="E345" s="38" t="n">
        <v>6340.018</v>
      </c>
      <c r="F345" s="38" t="n">
        <v>-31917.013</v>
      </c>
      <c r="G345" s="38" t="n">
        <v>78188.11</v>
      </c>
      <c r="H345" s="38" t="n">
        <v>-110105.123</v>
      </c>
      <c r="I345" s="38" t="n">
        <v>-10839.285</v>
      </c>
      <c r="J345" s="38" t="n">
        <v/>
      </c>
      <c r="K345" s="38" t="n">
        <v/>
      </c>
      <c r="L345" s="38" t="n">
        <v/>
      </c>
      <c r="M345" s="38" t="n">
        <v/>
      </c>
      <c r="N345" s="38" t="n">
        <v>-43.02</v>
      </c>
      <c r="O345" s="38" t="n">
        <v>2998.097</v>
      </c>
      <c r="P345" s="38" t="n">
        <v>-0.011</v>
      </c>
      <c r="Q345" s="38" t="n">
        <v>3708.002</v>
      </c>
      <c r="R345" s="38" t="n">
        <v>396348.679</v>
      </c>
      <c r="S345" s="38" t="n">
        <v>326164.235</v>
      </c>
      <c r="T345" s="38" t="n">
        <v>70184.444</v>
      </c>
      <c r="U345" s="38" t="n">
        <v>-14001.503</v>
      </c>
      <c r="V345" s="38" t="n">
        <v>-14001.504</v>
      </c>
      <c r="W345" s="38" t="n">
        <v>-0.001</v>
      </c>
    </row>
    <row r="346">
      <c r="A346" s="35" t="inlineStr">
        <is>
          <t>2023-06</t>
        </is>
      </c>
      <c r="B346" s="35" t="n">
        <v>2023</v>
      </c>
      <c r="C346" s="35" t="n">
        <v>6</v>
      </c>
      <c r="D346" s="36" t="n">
        <v>36638.66</v>
      </c>
      <c r="E346" s="36" t="n">
        <v>6327.83</v>
      </c>
      <c r="F346" s="36" t="n">
        <v>11968.855</v>
      </c>
      <c r="G346" s="36" t="n">
        <v>-143042.193</v>
      </c>
      <c r="H346" s="36" t="n">
        <v>155011.048</v>
      </c>
      <c r="I346" s="36" t="n">
        <v>-13622.258</v>
      </c>
      <c r="J346" s="36" t="n">
        <v/>
      </c>
      <c r="K346" s="36" t="n">
        <v/>
      </c>
      <c r="L346" s="36" t="n">
        <v/>
      </c>
      <c r="M346" s="36" t="n">
        <v/>
      </c>
      <c r="N346" s="36" t="n">
        <v>50.032</v>
      </c>
      <c r="O346" s="36" t="n">
        <v>-20462.144</v>
      </c>
      <c r="P346" s="36" t="n">
        <v>-3.559</v>
      </c>
      <c r="Q346" s="36" t="n">
        <v>-14127.219</v>
      </c>
      <c r="R346" s="36" t="n">
        <v>403118.875</v>
      </c>
      <c r="S346" s="36" t="n">
        <v>333116.241</v>
      </c>
      <c r="T346" s="36" t="n">
        <v>70002.63499999999</v>
      </c>
      <c r="U346" s="36" t="n">
        <v>6770.196</v>
      </c>
      <c r="V346" s="36" t="n">
        <v>6770.197</v>
      </c>
      <c r="W346" s="36" t="n">
        <v>0.001</v>
      </c>
    </row>
    <row r="347">
      <c r="A347" s="37" t="inlineStr">
        <is>
          <t>2023-07</t>
        </is>
      </c>
      <c r="B347" s="37" t="n">
        <v>2023</v>
      </c>
      <c r="C347" s="37" t="n">
        <v>7</v>
      </c>
      <c r="D347" s="38" t="n">
        <v>52580.23</v>
      </c>
      <c r="E347" s="38" t="n">
        <v>870.986</v>
      </c>
      <c r="F347" s="38" t="n">
        <v>-36656.405</v>
      </c>
      <c r="G347" s="38" t="n">
        <v>99858.774</v>
      </c>
      <c r="H347" s="38" t="n">
        <v>-136515.179</v>
      </c>
      <c r="I347" s="38" t="n">
        <v>-1490.954</v>
      </c>
      <c r="J347" s="38" t="n">
        <v/>
      </c>
      <c r="K347" s="38" t="n">
        <v/>
      </c>
      <c r="L347" s="38" t="n">
        <v/>
      </c>
      <c r="M347" s="38" t="n">
        <v/>
      </c>
      <c r="N347" s="38" t="n">
        <v>-50.359</v>
      </c>
      <c r="O347" s="38" t="n">
        <v>-15610.198</v>
      </c>
      <c r="P347" s="38" t="n">
        <v>0</v>
      </c>
      <c r="Q347" s="38" t="n">
        <v>-7887.946</v>
      </c>
      <c r="R347" s="38" t="n">
        <v>394874.228</v>
      </c>
      <c r="S347" s="38" t="n">
        <v>337238.808</v>
      </c>
      <c r="T347" s="38" t="n">
        <v>57635.42</v>
      </c>
      <c r="U347" s="38" t="n">
        <v>-8244.647000000001</v>
      </c>
      <c r="V347" s="38" t="n">
        <v>-8244.646000000001</v>
      </c>
      <c r="W347" s="38" t="n">
        <v>0.001</v>
      </c>
    </row>
    <row r="348">
      <c r="A348" s="35" t="inlineStr">
        <is>
          <t>2023-08</t>
        </is>
      </c>
      <c r="B348" s="35" t="n">
        <v>2023</v>
      </c>
      <c r="C348" s="35" t="n">
        <v>8</v>
      </c>
      <c r="D348" s="36" t="n">
        <v>7021.731</v>
      </c>
      <c r="E348" s="36" t="n">
        <v>297.403</v>
      </c>
      <c r="F348" s="36" t="n">
        <v>310.815</v>
      </c>
      <c r="G348" s="36" t="n">
        <v>-56131.264</v>
      </c>
      <c r="H348" s="36" t="n">
        <v>56442.079</v>
      </c>
      <c r="I348" s="36" t="n">
        <v>-8915.056</v>
      </c>
      <c r="J348" s="36" t="n">
        <v/>
      </c>
      <c r="K348" s="36" t="n">
        <v/>
      </c>
      <c r="L348" s="36" t="n">
        <v/>
      </c>
      <c r="M348" s="36" t="n">
        <v/>
      </c>
      <c r="N348" s="36" t="n">
        <v>-0.328</v>
      </c>
      <c r="O348" s="36" t="n">
        <v>10542.427</v>
      </c>
      <c r="P348" s="36" t="n">
        <v>0</v>
      </c>
      <c r="Q348" s="36" t="n">
        <v>-4348.848</v>
      </c>
      <c r="R348" s="36" t="n">
        <v>399782.374</v>
      </c>
      <c r="S348" s="36" t="n">
        <v>333057.891</v>
      </c>
      <c r="T348" s="36" t="n">
        <v>66724.48299999999</v>
      </c>
      <c r="U348" s="36" t="n">
        <v>4908.146</v>
      </c>
      <c r="V348" s="36" t="n">
        <v>4908.144</v>
      </c>
      <c r="W348" s="36" t="n">
        <v>-0.002</v>
      </c>
    </row>
    <row r="349">
      <c r="A349" s="37" t="inlineStr">
        <is>
          <t>2023-09</t>
        </is>
      </c>
      <c r="B349" s="37" t="n">
        <v>2023</v>
      </c>
      <c r="C349" s="37" t="n">
        <v>9</v>
      </c>
      <c r="D349" s="38" t="n">
        <v>-11026.617</v>
      </c>
      <c r="E349" s="38" t="n">
        <v>526.7140000000001</v>
      </c>
      <c r="F349" s="38" t="n">
        <v>19467.921</v>
      </c>
      <c r="G349" s="38" t="n">
        <v>242878.957</v>
      </c>
      <c r="H349" s="38" t="n">
        <v>-223411.036</v>
      </c>
      <c r="I349" s="38" t="n">
        <v>-11656.199</v>
      </c>
      <c r="J349" s="38" t="n">
        <v/>
      </c>
      <c r="K349" s="38" t="n">
        <v/>
      </c>
      <c r="L349" s="38" t="n">
        <v/>
      </c>
      <c r="M349" s="38" t="n">
        <v/>
      </c>
      <c r="N349" s="38" t="n">
        <v>123.024</v>
      </c>
      <c r="O349" s="38" t="n">
        <v>15885.561</v>
      </c>
      <c r="P349" s="38" t="n">
        <v>0</v>
      </c>
      <c r="Q349" s="38" t="n">
        <v>-8635.928</v>
      </c>
      <c r="R349" s="38" t="n">
        <v>404466.849</v>
      </c>
      <c r="S349" s="38" t="n">
        <v>328770.55</v>
      </c>
      <c r="T349" s="38" t="n">
        <v>75696.298</v>
      </c>
      <c r="U349" s="38" t="n">
        <v>4684.475</v>
      </c>
      <c r="V349" s="38" t="n">
        <v>4684.476</v>
      </c>
      <c r="W349" s="38" t="n">
        <v>0.001</v>
      </c>
    </row>
    <row r="350">
      <c r="A350" s="35" t="inlineStr">
        <is>
          <t>2023-10</t>
        </is>
      </c>
      <c r="B350" s="35" t="n">
        <v>2023</v>
      </c>
      <c r="C350" s="35" t="n">
        <v>10</v>
      </c>
      <c r="D350" s="36" t="n">
        <v>8683.540000000001</v>
      </c>
      <c r="E350" s="36" t="n">
        <v>427.944</v>
      </c>
      <c r="F350" s="36" t="n">
        <v>-18407.409</v>
      </c>
      <c r="G350" s="36" t="n">
        <v>-43119.256</v>
      </c>
      <c r="H350" s="36" t="n">
        <v>24711.847</v>
      </c>
      <c r="I350" s="36" t="n">
        <v>7541.382</v>
      </c>
      <c r="J350" s="36" t="n">
        <v/>
      </c>
      <c r="K350" s="36" t="n">
        <v/>
      </c>
      <c r="L350" s="36" t="n">
        <v/>
      </c>
      <c r="M350" s="36" t="n">
        <v/>
      </c>
      <c r="N350" s="36" t="n">
        <v>-123.628</v>
      </c>
      <c r="O350" s="36" t="n">
        <v>-1827.011</v>
      </c>
      <c r="P350" s="36" t="n">
        <v>0</v>
      </c>
      <c r="Q350" s="36" t="n">
        <v>-3334.588</v>
      </c>
      <c r="R350" s="36" t="n">
        <v>397427.08</v>
      </c>
      <c r="S350" s="36" t="n">
        <v>327483.643</v>
      </c>
      <c r="T350" s="36" t="n">
        <v>69943.43700000001</v>
      </c>
      <c r="U350" s="36" t="n">
        <v>-7039.769</v>
      </c>
      <c r="V350" s="36" t="n">
        <v>-7039.77</v>
      </c>
      <c r="W350" s="36" t="n">
        <v>-0.001</v>
      </c>
    </row>
    <row r="351">
      <c r="A351" s="37" t="inlineStr">
        <is>
          <t>2023-11</t>
        </is>
      </c>
      <c r="B351" s="37" t="n">
        <v>2023</v>
      </c>
      <c r="C351" s="37" t="n">
        <v>11</v>
      </c>
      <c r="D351" s="38" t="n">
        <v>12813.703</v>
      </c>
      <c r="E351" s="38" t="n">
        <v>279.208</v>
      </c>
      <c r="F351" s="38" t="n">
        <v>3830.976</v>
      </c>
      <c r="G351" s="38" t="n">
        <v>-101314.298</v>
      </c>
      <c r="H351" s="38" t="n">
        <v>105145.274</v>
      </c>
      <c r="I351" s="38" t="n">
        <v>19812.691</v>
      </c>
      <c r="J351" s="38" t="n">
        <v/>
      </c>
      <c r="K351" s="38" t="n">
        <v/>
      </c>
      <c r="L351" s="38" t="n">
        <v/>
      </c>
      <c r="M351" s="38" t="n">
        <v/>
      </c>
      <c r="N351" s="38" t="n">
        <v>-0.08400000000000001</v>
      </c>
      <c r="O351" s="38" t="n">
        <v>-18334.753</v>
      </c>
      <c r="P351" s="38" t="n">
        <v>0</v>
      </c>
      <c r="Q351" s="38" t="n">
        <v>-10278.681</v>
      </c>
      <c r="R351" s="38" t="n">
        <v>405550.14</v>
      </c>
      <c r="S351" s="38" t="n">
        <v>329771.878</v>
      </c>
      <c r="T351" s="38" t="n">
        <v>75778.262</v>
      </c>
      <c r="U351" s="38" t="n">
        <v>8123.06</v>
      </c>
      <c r="V351" s="38" t="n">
        <v>8123.06</v>
      </c>
      <c r="W351" s="38" t="n">
        <v>0</v>
      </c>
    </row>
    <row r="352">
      <c r="A352" s="35" t="inlineStr">
        <is>
          <t>2023-12</t>
        </is>
      </c>
      <c r="B352" s="35" t="n">
        <v>2023</v>
      </c>
      <c r="C352" s="35" t="n">
        <v>12</v>
      </c>
      <c r="D352" s="36" t="n">
        <v>80331.787</v>
      </c>
      <c r="E352" s="36" t="n">
        <v>233.715</v>
      </c>
      <c r="F352" s="36" t="n">
        <v>-18023.368</v>
      </c>
      <c r="G352" s="36" t="n">
        <v>-127402.891</v>
      </c>
      <c r="H352" s="36" t="n">
        <v>109379.523</v>
      </c>
      <c r="I352" s="36" t="n">
        <v>-16363.195</v>
      </c>
      <c r="J352" s="36" t="n">
        <v/>
      </c>
      <c r="K352" s="36" t="n">
        <v/>
      </c>
      <c r="L352" s="36" t="n">
        <v/>
      </c>
      <c r="M352" s="36" t="n">
        <v/>
      </c>
      <c r="N352" s="36" t="n">
        <v>0</v>
      </c>
      <c r="O352" s="36" t="n">
        <v>-6628.462</v>
      </c>
      <c r="P352" s="36" t="n">
        <v>0</v>
      </c>
      <c r="Q352" s="36" t="n">
        <v>-22381.99</v>
      </c>
      <c r="R352" s="36" t="n">
        <v>422718.628</v>
      </c>
      <c r="S352" s="36" t="n">
        <v>341616.828</v>
      </c>
      <c r="T352" s="36" t="n">
        <v>81101.8</v>
      </c>
      <c r="U352" s="36" t="n">
        <v>17168.488</v>
      </c>
      <c r="V352" s="36" t="n">
        <v>17168.487</v>
      </c>
      <c r="W352" s="36" t="n">
        <v>-0.001</v>
      </c>
    </row>
    <row r="353">
      <c r="A353" s="37" t="inlineStr">
        <is>
          <t>2024-01</t>
        </is>
      </c>
      <c r="B353" s="37" t="n">
        <v>2024</v>
      </c>
      <c r="C353" s="37" t="n">
        <v>1</v>
      </c>
      <c r="D353" s="38" t="n">
        <v>8134.425</v>
      </c>
      <c r="E353" s="38" t="n">
        <v>171.567</v>
      </c>
      <c r="F353" s="38" t="n">
        <v>-47791.657</v>
      </c>
      <c r="G353" s="38" t="n">
        <v>145475.438</v>
      </c>
      <c r="H353" s="38" t="n">
        <v>-193267.095</v>
      </c>
      <c r="I353" s="38" t="n">
        <v>-9175.128000000001</v>
      </c>
      <c r="J353" s="38" t="n">
        <v/>
      </c>
      <c r="K353" s="38" t="n">
        <v/>
      </c>
      <c r="L353" s="38" t="n">
        <v/>
      </c>
      <c r="M353" s="38" t="n">
        <v/>
      </c>
      <c r="N353" s="38" t="n">
        <v>0</v>
      </c>
      <c r="O353" s="38" t="n">
        <v>10001.982</v>
      </c>
      <c r="P353" s="38" t="n">
        <v>0</v>
      </c>
      <c r="Q353" s="38" t="n">
        <v>20688.387</v>
      </c>
      <c r="R353" s="38" t="n">
        <v>404748.204</v>
      </c>
      <c r="S353" s="38" t="n">
        <v>334650.277</v>
      </c>
      <c r="T353" s="38" t="n">
        <v>70097.927</v>
      </c>
      <c r="U353" s="38" t="n">
        <v>-17970.424</v>
      </c>
      <c r="V353" s="38" t="n">
        <v>-17970.424</v>
      </c>
      <c r="W353" s="38" t="n">
        <v>0</v>
      </c>
    </row>
    <row r="354">
      <c r="A354" s="35" t="inlineStr">
        <is>
          <t>2024-02</t>
        </is>
      </c>
      <c r="B354" s="35" t="n">
        <v>2024</v>
      </c>
      <c r="C354" s="35" t="n">
        <v>2</v>
      </c>
      <c r="D354" s="36" t="n">
        <v>7662.877</v>
      </c>
      <c r="E354" s="36" t="n">
        <v>835.246</v>
      </c>
      <c r="F354" s="36" t="n">
        <v>-19540.233</v>
      </c>
      <c r="G354" s="36" t="n">
        <v>-85504.98</v>
      </c>
      <c r="H354" s="36" t="n">
        <v>65964.747</v>
      </c>
      <c r="I354" s="36" t="n">
        <v>26898.661</v>
      </c>
      <c r="J354" s="36" t="n">
        <v/>
      </c>
      <c r="K354" s="36" t="n">
        <v/>
      </c>
      <c r="L354" s="36" t="n">
        <v/>
      </c>
      <c r="M354" s="36" t="n">
        <v/>
      </c>
      <c r="N354" s="36" t="n">
        <v>0</v>
      </c>
      <c r="O354" s="36" t="n">
        <v>409.28</v>
      </c>
      <c r="P354" s="36" t="n">
        <v>0</v>
      </c>
      <c r="Q354" s="36" t="n">
        <v>-6313.372</v>
      </c>
      <c r="R354" s="36" t="n">
        <v>414700.663</v>
      </c>
      <c r="S354" s="36" t="n">
        <v>331573.415</v>
      </c>
      <c r="T354" s="36" t="n">
        <v>83127.24800000001</v>
      </c>
      <c r="U354" s="36" t="n">
        <v>9952.459000000001</v>
      </c>
      <c r="V354" s="36" t="n">
        <v>9952.459000000001</v>
      </c>
      <c r="W354" s="36" t="n">
        <v>0</v>
      </c>
    </row>
    <row r="355">
      <c r="A355" s="37" t="inlineStr">
        <is>
          <t>2024-03</t>
        </is>
      </c>
      <c r="B355" s="37" t="n">
        <v>2024</v>
      </c>
      <c r="C355" s="37" t="n">
        <v>3</v>
      </c>
      <c r="D355" s="38" t="n">
        <v>553.6130000000001</v>
      </c>
      <c r="E355" s="38" t="n">
        <v>250.978</v>
      </c>
      <c r="F355" s="38" t="n">
        <v>30353.719</v>
      </c>
      <c r="G355" s="38" t="n">
        <v>18165.07</v>
      </c>
      <c r="H355" s="38" t="n">
        <v>12188.649</v>
      </c>
      <c r="I355" s="38" t="n">
        <v>-1198.011</v>
      </c>
      <c r="J355" s="38" t="n">
        <v/>
      </c>
      <c r="K355" s="38" t="n">
        <v/>
      </c>
      <c r="L355" s="38" t="n">
        <v/>
      </c>
      <c r="M355" s="38" t="n">
        <v/>
      </c>
      <c r="N355" s="38" t="n">
        <v>0</v>
      </c>
      <c r="O355" s="38" t="n">
        <v>-857.171</v>
      </c>
      <c r="P355" s="38" t="n">
        <v>0</v>
      </c>
      <c r="Q355" s="38" t="n">
        <v>-26007.905</v>
      </c>
      <c r="R355" s="38" t="n">
        <v>417795.886</v>
      </c>
      <c r="S355" s="38" t="n">
        <v>329688.064</v>
      </c>
      <c r="T355" s="38" t="n">
        <v>88107.823</v>
      </c>
      <c r="U355" s="38" t="n">
        <v>3095.223</v>
      </c>
      <c r="V355" s="38" t="n">
        <v>3095.223</v>
      </c>
      <c r="W355" s="38" t="n">
        <v>0</v>
      </c>
    </row>
    <row r="356">
      <c r="A356" s="35" t="inlineStr">
        <is>
          <t>2024-04</t>
        </is>
      </c>
      <c r="B356" s="35" t="n">
        <v>2024</v>
      </c>
      <c r="C356" s="35" t="n">
        <v>4</v>
      </c>
      <c r="D356" s="36" t="n">
        <v>13316.431</v>
      </c>
      <c r="E356" s="36" t="n">
        <v>358.885</v>
      </c>
      <c r="F356" s="36" t="n">
        <v>7136.624</v>
      </c>
      <c r="G356" s="36" t="n">
        <v>-9300.993</v>
      </c>
      <c r="H356" s="36" t="n">
        <v>16437.617</v>
      </c>
      <c r="I356" s="36" t="n">
        <v>-37620.499</v>
      </c>
      <c r="J356" s="36" t="n">
        <v/>
      </c>
      <c r="K356" s="36" t="n">
        <v/>
      </c>
      <c r="L356" s="36" t="n">
        <v/>
      </c>
      <c r="M356" s="36" t="n">
        <v/>
      </c>
      <c r="N356" s="36" t="n">
        <v>-0.025</v>
      </c>
      <c r="O356" s="36" t="n">
        <v>11238.885</v>
      </c>
      <c r="P356" s="36" t="n">
        <v>0</v>
      </c>
      <c r="Q356" s="36" t="n">
        <v>-5966.137</v>
      </c>
      <c r="R356" s="36" t="n">
        <v>406260.051</v>
      </c>
      <c r="S356" s="36" t="n">
        <v>332847.987</v>
      </c>
      <c r="T356" s="36" t="n">
        <v>73412.065</v>
      </c>
      <c r="U356" s="36" t="n">
        <v>-11535.835</v>
      </c>
      <c r="V356" s="36" t="n">
        <v>-11535.836</v>
      </c>
      <c r="W356" s="36" t="n">
        <v>-0.001</v>
      </c>
    </row>
    <row r="357">
      <c r="A357" s="37" t="inlineStr">
        <is>
          <t>2024-05</t>
        </is>
      </c>
      <c r="B357" s="37" t="n">
        <v>2024</v>
      </c>
      <c r="C357" s="37" t="n">
        <v>5</v>
      </c>
      <c r="D357" s="38" t="n">
        <v>32583.01</v>
      </c>
      <c r="E357" s="38" t="n">
        <v>378.184</v>
      </c>
      <c r="F357" s="38" t="n">
        <v>-5477.517</v>
      </c>
      <c r="G357" s="38" t="n">
        <v>-130547.472</v>
      </c>
      <c r="H357" s="38" t="n">
        <v>125069.955</v>
      </c>
      <c r="I357" s="38" t="n">
        <v>8203.228999999999</v>
      </c>
      <c r="J357" s="38" t="n">
        <v/>
      </c>
      <c r="K357" s="38" t="n">
        <v/>
      </c>
      <c r="L357" s="38" t="n">
        <v/>
      </c>
      <c r="M357" s="38" t="n">
        <v/>
      </c>
      <c r="N357" s="38" t="n">
        <v>-0.019</v>
      </c>
      <c r="O357" s="38" t="n">
        <v>7731.654</v>
      </c>
      <c r="P357" s="38" t="n">
        <v>0</v>
      </c>
      <c r="Q357" s="38" t="n">
        <v>-13088.595</v>
      </c>
      <c r="R357" s="38" t="n">
        <v>436589.996</v>
      </c>
      <c r="S357" s="38" t="n">
        <v>341239.021</v>
      </c>
      <c r="T357" s="38" t="n">
        <v>95350.976</v>
      </c>
      <c r="U357" s="38" t="n">
        <v>30329.945</v>
      </c>
      <c r="V357" s="38" t="n">
        <v>30329.946</v>
      </c>
      <c r="W357" s="38" t="n">
        <v>0.001</v>
      </c>
    </row>
    <row r="358">
      <c r="A358" s="35" t="inlineStr">
        <is>
          <t>2024-06</t>
        </is>
      </c>
      <c r="B358" s="35" t="n">
        <v>2024</v>
      </c>
      <c r="C358" s="35" t="n">
        <v>6</v>
      </c>
      <c r="D358" s="36" t="n">
        <v>50937.462</v>
      </c>
      <c r="E358" s="36" t="n">
        <v>728.3819999999999</v>
      </c>
      <c r="F358" s="36" t="n">
        <v>-46424.548</v>
      </c>
      <c r="G358" s="36" t="n">
        <v>-57352.992</v>
      </c>
      <c r="H358" s="36" t="n">
        <v>10928.444</v>
      </c>
      <c r="I358" s="36" t="n">
        <v>-13348.041</v>
      </c>
      <c r="J358" s="36" t="n">
        <v/>
      </c>
      <c r="K358" s="36" t="n">
        <v/>
      </c>
      <c r="L358" s="36" t="n">
        <v/>
      </c>
      <c r="M358" s="36" t="n">
        <v/>
      </c>
      <c r="N358" s="36" t="n">
        <v>-0.744</v>
      </c>
      <c r="O358" s="36" t="n">
        <v>28607.7</v>
      </c>
      <c r="P358" s="36" t="n">
        <v>0</v>
      </c>
      <c r="Q358" s="36" t="n">
        <v>-20187.76</v>
      </c>
      <c r="R358" s="36" t="n">
        <v>436902.447</v>
      </c>
      <c r="S358" s="36" t="n">
        <v>347331.283</v>
      </c>
      <c r="T358" s="36" t="n">
        <v>89571.164</v>
      </c>
      <c r="U358" s="36" t="n">
        <v>312.451</v>
      </c>
      <c r="V358" s="36" t="n">
        <v>312.451</v>
      </c>
      <c r="W358" s="36" t="n">
        <v>0</v>
      </c>
    </row>
    <row r="359">
      <c r="A359" s="37" t="inlineStr">
        <is>
          <t>2024-07</t>
        </is>
      </c>
      <c r="B359" s="37" t="n">
        <v>2024</v>
      </c>
      <c r="C359" s="37" t="n">
        <v>7</v>
      </c>
      <c r="D359" s="38" t="n">
        <v>33289.649</v>
      </c>
      <c r="E359" s="38" t="n">
        <v>475.241</v>
      </c>
      <c r="F359" s="38" t="n">
        <v>-59042.282</v>
      </c>
      <c r="G359" s="38" t="n">
        <v>-5013.072</v>
      </c>
      <c r="H359" s="38" t="n">
        <v>-54029.21</v>
      </c>
      <c r="I359" s="38" t="n">
        <v>6034.035</v>
      </c>
      <c r="J359" s="38" t="n">
        <v/>
      </c>
      <c r="K359" s="38" t="n">
        <v/>
      </c>
      <c r="L359" s="38" t="n">
        <v/>
      </c>
      <c r="M359" s="38" t="n">
        <v/>
      </c>
      <c r="N359" s="38" t="n">
        <v>0</v>
      </c>
      <c r="O359" s="38" t="n">
        <v>9885.057000000001</v>
      </c>
      <c r="P359" s="38" t="n">
        <v>-0.021</v>
      </c>
      <c r="Q359" s="38" t="n">
        <v>5294.659</v>
      </c>
      <c r="R359" s="38" t="n">
        <v>432838.785</v>
      </c>
      <c r="S359" s="38" t="n">
        <v>347820.49</v>
      </c>
      <c r="T359" s="38" t="n">
        <v>85018.295</v>
      </c>
      <c r="U359" s="38" t="n">
        <v>-4063.662</v>
      </c>
      <c r="V359" s="38" t="n">
        <v>-4063.662</v>
      </c>
      <c r="W359" s="38" t="n">
        <v>0</v>
      </c>
    </row>
    <row r="360">
      <c r="A360" s="35" t="inlineStr">
        <is>
          <t>2024-08</t>
        </is>
      </c>
      <c r="B360" s="35" t="n">
        <v>2024</v>
      </c>
      <c r="C360" s="35" t="n">
        <v>8</v>
      </c>
      <c r="D360" s="36" t="n">
        <v>5435.895</v>
      </c>
      <c r="E360" s="36" t="n">
        <v>461.259</v>
      </c>
      <c r="F360" s="36" t="n">
        <v>15896.598</v>
      </c>
      <c r="G360" s="36" t="n">
        <v>183726.854</v>
      </c>
      <c r="H360" s="36" t="n">
        <v>-167830.256</v>
      </c>
      <c r="I360" s="36" t="n">
        <v>-3392.534</v>
      </c>
      <c r="J360" s="36" t="n">
        <v/>
      </c>
      <c r="K360" s="36" t="n">
        <v/>
      </c>
      <c r="L360" s="36" t="n">
        <v/>
      </c>
      <c r="M360" s="36" t="n">
        <v/>
      </c>
      <c r="N360" s="36" t="n">
        <v/>
      </c>
      <c r="O360" s="36" t="n">
        <v>-1665.174</v>
      </c>
      <c r="P360" s="36" t="n">
        <v>0</v>
      </c>
      <c r="Q360" s="36" t="n">
        <v>-14965.885</v>
      </c>
      <c r="R360" s="36" t="n">
        <v>434608.93</v>
      </c>
      <c r="S360" s="36" t="n">
        <v>345982.105</v>
      </c>
      <c r="T360" s="36" t="n">
        <v>88626.825</v>
      </c>
      <c r="U360" s="36" t="n">
        <v>1770.145</v>
      </c>
      <c r="V360" s="36" t="n">
        <v>1770.159</v>
      </c>
      <c r="W360" s="36" t="n">
        <v>0.014</v>
      </c>
    </row>
    <row r="361">
      <c r="A361" s="37" t="inlineStr">
        <is>
          <t>2024-09</t>
        </is>
      </c>
      <c r="B361" s="37" t="n">
        <v>2024</v>
      </c>
      <c r="C361" s="37" t="n">
        <v>9</v>
      </c>
      <c r="D361" s="38" t="n">
        <v>9088.067999999999</v>
      </c>
      <c r="E361" s="38" t="n">
        <v>-7987.548</v>
      </c>
      <c r="F361" s="38" t="n">
        <v>13933.548</v>
      </c>
      <c r="G361" s="38" t="n">
        <v>125448.488</v>
      </c>
      <c r="H361" s="38" t="n">
        <v>-111514.94</v>
      </c>
      <c r="I361" s="38" t="n">
        <v>1698.653</v>
      </c>
      <c r="J361" s="38" t="n">
        <v/>
      </c>
      <c r="K361" s="38" t="n">
        <v/>
      </c>
      <c r="L361" s="38" t="n">
        <v/>
      </c>
      <c r="M361" s="38" t="n">
        <v/>
      </c>
      <c r="N361" s="38" t="n">
        <v/>
      </c>
      <c r="O361" s="38" t="n">
        <v>-19956.835</v>
      </c>
      <c r="P361" s="38" t="n">
        <v>0</v>
      </c>
      <c r="Q361" s="38" t="n">
        <v>-1526.159</v>
      </c>
      <c r="R361" s="38" t="n">
        <v>429858.545</v>
      </c>
      <c r="S361" s="38" t="n">
        <v>347034.466</v>
      </c>
      <c r="T361" s="38" t="n">
        <v>82824.079</v>
      </c>
      <c r="U361" s="38" t="n">
        <v>-4750.385</v>
      </c>
      <c r="V361" s="38" t="n">
        <v>-4750.273</v>
      </c>
      <c r="W361" s="38" t="n">
        <v>0.112</v>
      </c>
    </row>
    <row r="362">
      <c r="A362" s="35" t="inlineStr">
        <is>
          <t>2024-10</t>
        </is>
      </c>
      <c r="B362" s="35" t="n">
        <v>2024</v>
      </c>
      <c r="C362" s="35" t="n">
        <v>10</v>
      </c>
      <c r="D362" s="36" t="n">
        <v>-16114.683</v>
      </c>
      <c r="E362" s="36" t="n">
        <v>535.925</v>
      </c>
      <c r="F362" s="36" t="n">
        <v>12057.992</v>
      </c>
      <c r="G362" s="36" t="n">
        <v>-36796.014</v>
      </c>
      <c r="H362" s="36" t="n">
        <v>48854.006</v>
      </c>
      <c r="I362" s="36" t="n">
        <v>-5989.607</v>
      </c>
      <c r="J362" s="36" t="n">
        <v/>
      </c>
      <c r="K362" s="36" t="n">
        <v/>
      </c>
      <c r="L362" s="36" t="n">
        <v/>
      </c>
      <c r="M362" s="36" t="n">
        <v/>
      </c>
      <c r="N362" s="36" t="n">
        <v/>
      </c>
      <c r="O362" s="36" t="n">
        <v>30324.403</v>
      </c>
      <c r="P362" s="36" t="n">
        <v>0</v>
      </c>
      <c r="Q362" s="36" t="n">
        <v>-12928.682</v>
      </c>
      <c r="R362" s="36" t="n">
        <v>437743.879</v>
      </c>
      <c r="S362" s="36" t="n">
        <v>348106.151</v>
      </c>
      <c r="T362" s="36" t="n">
        <v>89637.728</v>
      </c>
      <c r="U362" s="36" t="n">
        <v>7885.334</v>
      </c>
      <c r="V362" s="36" t="n">
        <v>7885.348</v>
      </c>
      <c r="W362" s="36" t="n">
        <v>0.014</v>
      </c>
    </row>
    <row r="363">
      <c r="A363" s="37" t="inlineStr">
        <is>
          <t>2024-11</t>
        </is>
      </c>
      <c r="B363" s="37" t="n">
        <v>2024</v>
      </c>
      <c r="C363" s="37" t="n">
        <v>11</v>
      </c>
      <c r="D363" s="38" t="n">
        <v>-23342.234</v>
      </c>
      <c r="E363" s="38" t="n">
        <v>-22338.395</v>
      </c>
      <c r="F363" s="38" t="n">
        <v>46232.468</v>
      </c>
      <c r="G363" s="38" t="n">
        <v>-52428.62</v>
      </c>
      <c r="H363" s="38" t="n">
        <v>98661.088</v>
      </c>
      <c r="I363" s="38" t="n">
        <v>-8340.029</v>
      </c>
      <c r="J363" s="38" t="n">
        <v/>
      </c>
      <c r="K363" s="38" t="n">
        <v/>
      </c>
      <c r="L363" s="38" t="n">
        <v/>
      </c>
      <c r="M363" s="38" t="n">
        <v/>
      </c>
      <c r="N363" s="38" t="n">
        <v/>
      </c>
      <c r="O363" s="38" t="n">
        <v>20282.316</v>
      </c>
      <c r="P363" s="38" t="n">
        <v>0</v>
      </c>
      <c r="Q363" s="38" t="n">
        <v>-13335.042</v>
      </c>
      <c r="R363" s="38" t="n">
        <v>436902.962</v>
      </c>
      <c r="S363" s="38" t="n">
        <v>347165.091</v>
      </c>
      <c r="T363" s="38" t="n">
        <v>89737.871</v>
      </c>
      <c r="U363" s="38" t="n">
        <v>-840.917</v>
      </c>
      <c r="V363" s="38" t="n">
        <v>-840.9160000000001</v>
      </c>
      <c r="W363" s="38" t="n">
        <v>0.001</v>
      </c>
    </row>
    <row r="364">
      <c r="A364" s="35" t="inlineStr">
        <is>
          <t>2024-12</t>
        </is>
      </c>
      <c r="B364" s="35" t="n">
        <v>2024</v>
      </c>
      <c r="C364" s="35" t="n">
        <v>12</v>
      </c>
      <c r="D364" s="36" t="n">
        <v>-55712.578</v>
      </c>
      <c r="E364" s="36" t="n">
        <v>-186347.058</v>
      </c>
      <c r="F364" s="36" t="n">
        <v>211370.114</v>
      </c>
      <c r="G364" s="36" t="n">
        <v>-30736.668</v>
      </c>
      <c r="H364" s="36" t="n">
        <v>242106.782</v>
      </c>
      <c r="I364" s="36" t="n">
        <v>35522.321</v>
      </c>
      <c r="J364" s="36" t="n">
        <v/>
      </c>
      <c r="K364" s="36" t="n">
        <v/>
      </c>
      <c r="L364" s="36" t="n">
        <v/>
      </c>
      <c r="M364" s="36" t="n">
        <v/>
      </c>
      <c r="N364" s="36" t="n">
        <v/>
      </c>
      <c r="O364" s="36" t="n">
        <v>19928.148</v>
      </c>
      <c r="P364" s="36" t="n">
        <v>0</v>
      </c>
      <c r="Q364" s="36" t="n">
        <v>-10450.304</v>
      </c>
      <c r="R364" s="36" t="n">
        <v>451213.588</v>
      </c>
      <c r="S364" s="36" t="n">
        <v>355858.101</v>
      </c>
      <c r="T364" s="36" t="n">
        <v>95355.488</v>
      </c>
      <c r="U364" s="36" t="n">
        <v>14310.626</v>
      </c>
      <c r="V364" s="36" t="n">
        <v>14310.643</v>
      </c>
      <c r="W364" s="36" t="n">
        <v>0.017</v>
      </c>
    </row>
    <row r="365">
      <c r="A365" s="37" t="inlineStr">
        <is>
          <t>2025-01</t>
        </is>
      </c>
      <c r="B365" s="37" t="n">
        <v>2025</v>
      </c>
      <c r="C365" s="37" t="n">
        <v>1</v>
      </c>
      <c r="D365" s="38" t="n">
        <v>-1911.583</v>
      </c>
      <c r="E365" s="38" t="n">
        <v>-22855.842</v>
      </c>
      <c r="F365" s="38" t="n">
        <v>57970.476</v>
      </c>
      <c r="G365" s="38" t="n">
        <v>82160.383</v>
      </c>
      <c r="H365" s="38" t="n">
        <v>-24189.907</v>
      </c>
      <c r="I365" s="38" t="n">
        <v>-17756.919</v>
      </c>
      <c r="J365" s="38" t="n">
        <v/>
      </c>
      <c r="K365" s="38" t="n">
        <v/>
      </c>
      <c r="L365" s="38" t="n">
        <v/>
      </c>
      <c r="M365" s="38" t="n">
        <v/>
      </c>
      <c r="N365" s="38" t="n">
        <v/>
      </c>
      <c r="O365" s="38" t="n">
        <v>-36023.672</v>
      </c>
      <c r="P365" s="38" t="n">
        <v>0</v>
      </c>
      <c r="Q365" s="38" t="n">
        <v>9242.546</v>
      </c>
      <c r="R365" s="38" t="n">
        <v>439878.595</v>
      </c>
      <c r="S365" s="38" t="n">
        <v>351657.035</v>
      </c>
      <c r="T365" s="38" t="n">
        <v>88221.561</v>
      </c>
      <c r="U365" s="38" t="n">
        <v>-11334.993</v>
      </c>
      <c r="V365" s="38" t="n">
        <v>-11334.994</v>
      </c>
      <c r="W365" s="38" t="n">
        <v>-0.001</v>
      </c>
    </row>
    <row r="366">
      <c r="A366" s="35" t="inlineStr">
        <is>
          <t>2025-02</t>
        </is>
      </c>
      <c r="B366" s="35" t="n">
        <v>2025</v>
      </c>
      <c r="C366" s="35" t="n">
        <v>2</v>
      </c>
      <c r="D366" s="36" t="n">
        <v>-15213.632</v>
      </c>
      <c r="E366" s="36" t="n">
        <v>6750.864</v>
      </c>
      <c r="F366" s="36" t="n">
        <v>4838.797</v>
      </c>
      <c r="G366" s="36" t="n">
        <v>-141290.919</v>
      </c>
      <c r="H366" s="36" t="n">
        <v>146129.716</v>
      </c>
      <c r="I366" s="36" t="n">
        <v>32475.195</v>
      </c>
      <c r="J366" s="36" t="n">
        <v/>
      </c>
      <c r="K366" s="36" t="n">
        <v/>
      </c>
      <c r="L366" s="36" t="n">
        <v/>
      </c>
      <c r="M366" s="36" t="n">
        <v/>
      </c>
      <c r="N366" s="36" t="n">
        <v/>
      </c>
      <c r="O366" s="36" t="n">
        <v>-6970.522</v>
      </c>
      <c r="P366" s="36" t="n">
        <v>0</v>
      </c>
      <c r="Q366" s="36" t="n">
        <v>-20836.554</v>
      </c>
      <c r="R366" s="36" t="n">
        <v>440922.743</v>
      </c>
      <c r="S366" s="36" t="n">
        <v>350712.521</v>
      </c>
      <c r="T366" s="36" t="n">
        <v>90210.22199999999</v>
      </c>
      <c r="U366" s="36" t="n">
        <v>1044.148</v>
      </c>
      <c r="V366" s="36" t="n">
        <v>1044.148</v>
      </c>
      <c r="W366" s="36" t="n">
        <v>0</v>
      </c>
    </row>
    <row r="367">
      <c r="A367" s="37" t="inlineStr">
        <is>
          <t>2025-03</t>
        </is>
      </c>
      <c r="B367" s="37" t="n">
        <v>2025</v>
      </c>
      <c r="C367" s="37" t="n">
        <v>3</v>
      </c>
      <c r="D367" s="38" t="n">
        <v>-4041.1</v>
      </c>
      <c r="E367" s="38" t="n">
        <v>2134.929</v>
      </c>
      <c r="F367" s="38" t="n">
        <v>24227.844</v>
      </c>
      <c r="G367" s="38" t="n">
        <v>52045.226</v>
      </c>
      <c r="H367" s="38" t="n">
        <v>-27817.382</v>
      </c>
      <c r="I367" s="38" t="n">
        <v>-20368.975</v>
      </c>
      <c r="J367" s="38" t="n">
        <v/>
      </c>
      <c r="K367" s="38" t="n">
        <v/>
      </c>
      <c r="L367" s="38" t="n">
        <v/>
      </c>
      <c r="M367" s="38" t="n">
        <v/>
      </c>
      <c r="N367" s="38" t="n">
        <v/>
      </c>
      <c r="O367" s="38" t="n">
        <v>-9855.540000000001</v>
      </c>
      <c r="P367" s="38" t="n">
        <v>0</v>
      </c>
      <c r="Q367" s="38" t="n">
        <v>10257.491</v>
      </c>
      <c r="R367" s="38" t="n">
        <v>443277.392</v>
      </c>
      <c r="S367" s="38" t="n">
        <v>348985.969</v>
      </c>
      <c r="T367" s="38" t="n">
        <v>94291.423</v>
      </c>
      <c r="U367" s="38" t="n">
        <v>2354.649</v>
      </c>
      <c r="V367" s="38" t="n">
        <v>2354.649</v>
      </c>
      <c r="W367" s="38" t="n">
        <v>0</v>
      </c>
    </row>
    <row r="368">
      <c r="A368" s="35" t="inlineStr">
        <is>
          <t>2025-04</t>
        </is>
      </c>
      <c r="B368" s="35" t="n">
        <v>2025</v>
      </c>
      <c r="C368" s="35" t="n">
        <v>4</v>
      </c>
      <c r="D368" s="36" t="n">
        <v>1306.85</v>
      </c>
      <c r="E368" s="36" t="n">
        <v>2254.328</v>
      </c>
      <c r="F368" s="36" t="n">
        <v>14836.804</v>
      </c>
      <c r="G368" s="36" t="n">
        <v>-23757.827</v>
      </c>
      <c r="H368" s="36" t="n">
        <v>38594.631</v>
      </c>
      <c r="I368" s="36" t="n">
        <v>10175.985</v>
      </c>
      <c r="J368" s="36" t="n">
        <v/>
      </c>
      <c r="K368" s="36" t="n">
        <v/>
      </c>
      <c r="L368" s="36" t="n">
        <v/>
      </c>
      <c r="M368" s="36" t="n">
        <v/>
      </c>
      <c r="N368" s="36" t="n">
        <v/>
      </c>
      <c r="O368" s="36" t="n">
        <v>-15790.103</v>
      </c>
      <c r="P368" s="36" t="n">
        <v>-0.022</v>
      </c>
      <c r="Q368" s="36" t="n">
        <v>-20996.815</v>
      </c>
      <c r="R368" s="36" t="n">
        <v>435064.403</v>
      </c>
      <c r="S368" s="36" t="n">
        <v>349780.603</v>
      </c>
      <c r="T368" s="36" t="n">
        <v>85283.8</v>
      </c>
      <c r="U368" s="36" t="n">
        <v>-8212.989</v>
      </c>
      <c r="V368" s="36" t="n">
        <v>-8212.973</v>
      </c>
      <c r="W368" s="36" t="n">
        <v>0.016</v>
      </c>
    </row>
    <row r="369">
      <c r="A369" s="37" t="inlineStr">
        <is>
          <t>2025-05</t>
        </is>
      </c>
      <c r="B369" s="37" t="n">
        <v>2025</v>
      </c>
      <c r="C369" s="37" t="n">
        <v>5</v>
      </c>
      <c r="D369" s="38" t="n">
        <v>22140.942</v>
      </c>
      <c r="E369" s="38" t="n">
        <v>619.6559999999999</v>
      </c>
      <c r="F369" s="38" t="n">
        <v>30668.26</v>
      </c>
      <c r="G369" s="38" t="n">
        <v>45525.891</v>
      </c>
      <c r="H369" s="38" t="n">
        <v>-14857.631</v>
      </c>
      <c r="I369" s="38" t="n">
        <v>-6784.04</v>
      </c>
      <c r="J369" s="38" t="n">
        <v/>
      </c>
      <c r="K369" s="38" t="n">
        <v/>
      </c>
      <c r="L369" s="38" t="n">
        <v/>
      </c>
      <c r="M369" s="38" t="n">
        <v/>
      </c>
      <c r="N369" s="38" t="n">
        <v/>
      </c>
      <c r="O369" s="38" t="n">
        <v>-1695.282</v>
      </c>
      <c r="P369" s="38" t="n">
        <v>0</v>
      </c>
      <c r="Q369" s="38" t="n">
        <v>-27930.667</v>
      </c>
      <c r="R369" s="38" t="n">
        <v>452083.273</v>
      </c>
      <c r="S369" s="38" t="n">
        <v>353232.343</v>
      </c>
      <c r="T369" s="38" t="n">
        <v>98850.92999999999</v>
      </c>
      <c r="U369" s="38" t="n">
        <v>17018.87</v>
      </c>
      <c r="V369" s="38" t="n">
        <v>17018.869</v>
      </c>
      <c r="W369" s="38" t="n">
        <v>-0.001</v>
      </c>
    </row>
    <row r="370">
      <c r="A370" s="35" t="inlineStr">
        <is>
          <t>2025-06</t>
        </is>
      </c>
      <c r="B370" s="35" t="n">
        <v>2025</v>
      </c>
      <c r="C370" s="35" t="n">
        <v>6</v>
      </c>
      <c r="D370" s="36" t="n">
        <v>34193.294</v>
      </c>
      <c r="E370" s="36" t="n">
        <v>-5084.737</v>
      </c>
      <c r="F370" s="36" t="n">
        <v>-62075.465</v>
      </c>
      <c r="G370" s="36" t="n">
        <v>-164788.427</v>
      </c>
      <c r="H370" s="36" t="n">
        <v>102712.962</v>
      </c>
      <c r="I370" s="36" t="n">
        <v>43917.199</v>
      </c>
      <c r="J370" s="36" t="n">
        <v/>
      </c>
      <c r="K370" s="36" t="n">
        <v/>
      </c>
      <c r="L370" s="36" t="n">
        <v/>
      </c>
      <c r="M370" s="36" t="n">
        <v/>
      </c>
      <c r="N370" s="36" t="n">
        <v/>
      </c>
      <c r="O370" s="36" t="n">
        <v>-20858.05</v>
      </c>
      <c r="P370" s="36" t="n">
        <v>-0.002</v>
      </c>
      <c r="Q370" s="36" t="n">
        <v>8834.647999999999</v>
      </c>
      <c r="R370" s="36" t="n">
        <v>451010.163</v>
      </c>
      <c r="S370" s="36" t="n">
        <v>358805.635</v>
      </c>
      <c r="T370" s="36" t="n">
        <v>92204.52800000001</v>
      </c>
      <c r="U370" s="36" t="n">
        <v>-1073.11</v>
      </c>
      <c r="V370" s="36" t="n">
        <v>-1073.113</v>
      </c>
      <c r="W370" s="36" t="n">
        <v>-0.003</v>
      </c>
    </row>
    <row r="371">
      <c r="A371" s="37" t="inlineStr">
        <is>
          <t>2025-07</t>
        </is>
      </c>
      <c r="B371" s="37" t="n">
        <v>2025</v>
      </c>
      <c r="C371" s="37" t="n">
        <v>7</v>
      </c>
      <c r="D371" s="38" t="n">
        <v>77497.003</v>
      </c>
      <c r="E371" s="38" t="n">
        <v>15290.197</v>
      </c>
      <c r="F371" s="38" t="n">
        <v>-60473.144</v>
      </c>
      <c r="G371" s="38" t="n">
        <v>43383.007</v>
      </c>
      <c r="H371" s="38" t="n">
        <v>-103856.151</v>
      </c>
      <c r="I371" s="38" t="n">
        <v>-36103.131</v>
      </c>
      <c r="J371" s="38" t="n">
        <v/>
      </c>
      <c r="K371" s="38" t="n">
        <v/>
      </c>
      <c r="L371" s="38" t="n">
        <v/>
      </c>
      <c r="M371" s="38" t="n">
        <v/>
      </c>
      <c r="N371" s="38" t="n">
        <v/>
      </c>
      <c r="O371" s="38" t="n">
        <v>3331.837</v>
      </c>
      <c r="P371" s="38" t="n">
        <v>0</v>
      </c>
      <c r="Q371" s="38" t="n">
        <v>-6881.897</v>
      </c>
      <c r="R371" s="38" t="n">
        <v>443670.744</v>
      </c>
      <c r="S371" s="38" t="n">
        <v>358343.854</v>
      </c>
      <c r="T371" s="38" t="n">
        <v>85326.891</v>
      </c>
      <c r="U371" s="38" t="n">
        <v>-7339.419</v>
      </c>
      <c r="V371" s="38" t="n">
        <v>-7339.135</v>
      </c>
      <c r="W371" s="38" t="n">
        <v>0.284</v>
      </c>
    </row>
    <row r="372">
      <c r="A372" s="35" t="inlineStr">
        <is>
          <t>2025-08</t>
        </is>
      </c>
      <c r="B372" s="35" t="n">
        <v>2025</v>
      </c>
      <c r="C372" s="35" t="n">
        <v>8</v>
      </c>
      <c r="D372" s="36" t="n">
        <v>-3714.974</v>
      </c>
      <c r="E372" s="36" t="n">
        <v>6220.067</v>
      </c>
      <c r="F372" s="36" t="n">
        <v>26779.856</v>
      </c>
      <c r="G372" s="36" t="n">
        <v>-119618.447</v>
      </c>
      <c r="H372" s="36" t="n">
        <v>146398.303</v>
      </c>
      <c r="I372" s="36" t="n">
        <v>4731.436</v>
      </c>
      <c r="J372" s="36" t="n">
        <v/>
      </c>
      <c r="K372" s="36" t="n">
        <v/>
      </c>
      <c r="L372" s="36" t="n">
        <v/>
      </c>
      <c r="M372" s="36" t="n">
        <v/>
      </c>
      <c r="N372" s="36" t="n">
        <v/>
      </c>
      <c r="O372" s="36" t="n">
        <v>-19894.111</v>
      </c>
      <c r="P372" s="36" t="n">
        <v>0</v>
      </c>
      <c r="Q372" s="36" t="n">
        <v>-18935.5</v>
      </c>
      <c r="R372" s="36" t="n">
        <v>438857.418</v>
      </c>
      <c r="S372" s="36" t="n">
        <v>355684.839</v>
      </c>
      <c r="T372" s="36" t="n">
        <v>83172.579</v>
      </c>
      <c r="U372" s="36" t="n">
        <v>-4813.326</v>
      </c>
      <c r="V372" s="36" t="n">
        <v>-4813.226</v>
      </c>
      <c r="W372" s="36" t="n">
        <v>0.1</v>
      </c>
    </row>
    <row r="373">
      <c r="A373" s="37" t="inlineStr">
        <is>
          <t>2025-09</t>
        </is>
      </c>
      <c r="B373" s="37" t="n">
        <v>2025</v>
      </c>
      <c r="C373" s="37" t="n">
        <v>9</v>
      </c>
      <c r="D373" s="38" t="n">
        <v>32982.266</v>
      </c>
      <c r="E373" s="38" t="n">
        <v>16974.734</v>
      </c>
      <c r="F373" s="38" t="n">
        <v>-51217.034</v>
      </c>
      <c r="G373" s="38" t="n">
        <v>81797.149</v>
      </c>
      <c r="H373" s="38" t="n">
        <v>-133014.183</v>
      </c>
      <c r="I373" s="38" t="n">
        <v>-3756.003</v>
      </c>
      <c r="J373" s="38" t="n">
        <v/>
      </c>
      <c r="K373" s="38" t="n">
        <v/>
      </c>
      <c r="L373" s="38" t="n">
        <v/>
      </c>
      <c r="M373" s="38" t="n">
        <v/>
      </c>
      <c r="N373" s="38" t="n">
        <v/>
      </c>
      <c r="O373" s="38" t="n">
        <v>-13377.759</v>
      </c>
      <c r="P373" s="38" t="n">
        <v>0</v>
      </c>
      <c r="Q373" s="38" t="n">
        <v>9236.535</v>
      </c>
      <c r="R373" s="38" t="n">
        <v>429700.158</v>
      </c>
      <c r="S373" s="38" t="n">
        <v>355349.84</v>
      </c>
      <c r="T373" s="38" t="n">
        <v>74350.318</v>
      </c>
      <c r="U373" s="38" t="n">
        <v>-9157.26</v>
      </c>
      <c r="V373" s="38" t="n">
        <v>-9157.261</v>
      </c>
      <c r="W373" s="38" t="n">
        <v>-0.001</v>
      </c>
    </row>
    <row r="374">
      <c r="A374" s="35" t="inlineStr">
        <is>
          <t>2025-10</t>
        </is>
      </c>
      <c r="B374" s="35" t="n">
        <v>2025</v>
      </c>
      <c r="C374" s="35" t="n">
        <v>10</v>
      </c>
      <c r="D374" s="36" t="n">
        <v>-6796.866</v>
      </c>
      <c r="E374" s="36" t="n">
        <v>485.459</v>
      </c>
      <c r="F374" s="36" t="n">
        <v>31405.208</v>
      </c>
      <c r="G374" s="36" t="n">
        <v>-14581.571</v>
      </c>
      <c r="H374" s="36" t="n">
        <v>45986.779</v>
      </c>
      <c r="I374" s="36" t="n">
        <v>4459.001</v>
      </c>
      <c r="J374" s="36" t="n">
        <v/>
      </c>
      <c r="K374" s="36" t="n">
        <v/>
      </c>
      <c r="L374" s="36" t="n">
        <v/>
      </c>
      <c r="M374" s="36" t="n">
        <v/>
      </c>
      <c r="N374" s="36" t="n">
        <v/>
      </c>
      <c r="O374" s="36" t="n">
        <v>2364.229</v>
      </c>
      <c r="P374" s="36" t="n">
        <v>0</v>
      </c>
      <c r="Q374" s="36" t="n">
        <v>-29738.784</v>
      </c>
      <c r="R374" s="36" t="n">
        <v>431878.281</v>
      </c>
      <c r="S374" s="36" t="n">
        <v>354085.275</v>
      </c>
      <c r="T374" s="36" t="n">
        <v>77793.00599999999</v>
      </c>
      <c r="U374" s="36" t="n">
        <v>2178.123</v>
      </c>
      <c r="V374" s="36" t="n">
        <v>2178.247</v>
      </c>
      <c r="W374" s="36" t="n">
        <v>0.124</v>
      </c>
    </row>
    <row r="375">
      <c r="A375" s="37" t="inlineStr">
        <is>
          <t>2025-11</t>
        </is>
      </c>
      <c r="B375" s="37" t="n">
        <v>2025</v>
      </c>
      <c r="C375" s="37" t="n">
        <v>11</v>
      </c>
      <c r="D375" s="38" t="n">
        <v>-6268.963</v>
      </c>
      <c r="E375" s="38" t="n">
        <v>7864.608</v>
      </c>
      <c r="F375" s="38" t="n">
        <v>-36588.599</v>
      </c>
      <c r="G375" s="38" t="n">
        <v>-140141.495</v>
      </c>
      <c r="H375" s="38" t="n">
        <v>103552.896</v>
      </c>
      <c r="I375" s="38" t="n">
        <v>54548.086</v>
      </c>
      <c r="J375" s="38" t="n">
        <v/>
      </c>
      <c r="K375" s="38" t="n">
        <v/>
      </c>
      <c r="L375" s="38" t="n">
        <v/>
      </c>
      <c r="M375" s="38" t="n">
        <v/>
      </c>
      <c r="N375" s="38" t="n">
        <v/>
      </c>
      <c r="O375" s="38" t="n">
        <v>-5428.942</v>
      </c>
      <c r="P375" s="38" t="n">
        <v>0</v>
      </c>
      <c r="Q375" s="38" t="n">
        <v>-15461.435</v>
      </c>
      <c r="R375" s="38" t="n">
        <v>430543.036</v>
      </c>
      <c r="S375" s="38" t="n">
        <v>355241.736</v>
      </c>
      <c r="T375" s="38" t="n">
        <v>75301.3</v>
      </c>
      <c r="U375" s="38" t="n">
        <v>-1335.245</v>
      </c>
      <c r="V375" s="38" t="n">
        <v>-1335.245</v>
      </c>
      <c r="W375" s="38" t="n">
        <v>0</v>
      </c>
    </row>
    <row r="376">
      <c r="A376" s="35" t="inlineStr">
        <is>
          <t>2025-12</t>
        </is>
      </c>
      <c r="B376" s="35" t="n">
        <v>2025</v>
      </c>
      <c r="C376" s="35" t="n">
        <v>12</v>
      </c>
      <c r="D376" s="36" t="n">
        <v>-35402.732</v>
      </c>
      <c r="E376" s="36" t="n">
        <v>-22296.357</v>
      </c>
      <c r="F376" s="36" t="n">
        <v>73663.50999999999</v>
      </c>
      <c r="G376" s="36" t="n">
        <v>-77293.57799999999</v>
      </c>
      <c r="H376" s="36" t="n">
        <v>150957.088</v>
      </c>
      <c r="I376" s="36" t="n">
        <v>-20160.853</v>
      </c>
      <c r="J376" s="36" t="n">
        <v/>
      </c>
      <c r="K376" s="36" t="n">
        <v/>
      </c>
      <c r="L376" s="36" t="n">
        <v/>
      </c>
      <c r="M376" s="36" t="n">
        <v/>
      </c>
      <c r="N376" s="36" t="n">
        <v/>
      </c>
      <c r="O376" s="36" t="n">
        <v>18302.009</v>
      </c>
      <c r="P376" s="36" t="n">
        <v>0</v>
      </c>
      <c r="Q376" s="36" t="n">
        <v>2448.268</v>
      </c>
      <c r="R376" s="36" t="n">
        <v>447096.654</v>
      </c>
      <c r="S376" s="36" t="n">
        <v>368625.466</v>
      </c>
      <c r="T376" s="36" t="n">
        <v>78471.18799999999</v>
      </c>
      <c r="U376" s="36" t="n">
        <v>16553.618</v>
      </c>
      <c r="V376" s="36" t="n">
        <v>16553.845</v>
      </c>
      <c r="W376" s="36" t="n">
        <v>0.227</v>
      </c>
    </row>
  </sheetData>
  <autoFilter ref="A3:W37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2" customWidth="1" min="5" max="5"/>
  </cols>
  <sheetData>
    <row r="1">
      <c r="A1" s="5" t="inlineStr">
        <is>
          <t>Identidade mensal — Σ fatores = Δ base restrita</t>
        </is>
      </c>
    </row>
    <row r="2">
      <c r="A2" s="17" t="inlineStr">
        <is>
          <t>365 de 372 meses com |resíduo| ≤ R$ 500 mil (arredondamento do SGS). Valores da tabela em R$ milhões.</t>
        </is>
      </c>
    </row>
    <row r="4">
      <c r="A4" s="2" t="inlineStr">
        <is>
          <t>Mês</t>
        </is>
      </c>
      <c r="B4" s="2" t="inlineStr">
        <is>
          <t>Base (estoque)</t>
        </is>
      </c>
      <c r="C4" s="2" t="inlineStr">
        <is>
          <t>Δ base</t>
        </is>
      </c>
      <c r="D4" s="2" t="inlineStr">
        <is>
          <t>Σ fatores</t>
        </is>
      </c>
      <c r="E4" s="2" t="inlineStr">
        <is>
          <t>Resíduo</t>
        </is>
      </c>
    </row>
    <row r="5">
      <c r="A5" s="39" t="inlineStr">
        <is>
          <t>1995-01</t>
        </is>
      </c>
      <c r="B5" s="40" t="n">
        <v>16736.801</v>
      </c>
      <c r="C5" s="40" t="n">
        <v>-947.75</v>
      </c>
      <c r="D5" s="40" t="n">
        <v>-947.75</v>
      </c>
      <c r="E5" s="40" t="n">
        <v>0</v>
      </c>
    </row>
    <row r="6">
      <c r="A6" s="39" t="inlineStr">
        <is>
          <t>1995-02</t>
        </is>
      </c>
      <c r="B6" s="40" t="n">
        <v>15821.058</v>
      </c>
      <c r="C6" s="40" t="n">
        <v>-915.7430000000001</v>
      </c>
      <c r="D6" s="40" t="n">
        <v>-915.7430000000001</v>
      </c>
      <c r="E6" s="40" t="n">
        <v>0</v>
      </c>
    </row>
    <row r="7">
      <c r="A7" s="39" t="inlineStr">
        <is>
          <t>1995-03</t>
        </is>
      </c>
      <c r="B7" s="40" t="n">
        <v>15582.104</v>
      </c>
      <c r="C7" s="40" t="n">
        <v>-238.954</v>
      </c>
      <c r="D7" s="40" t="n">
        <v>-238.954</v>
      </c>
      <c r="E7" s="40" t="n">
        <v>0</v>
      </c>
    </row>
    <row r="8">
      <c r="A8" s="39" t="inlineStr">
        <is>
          <t>1995-04</t>
        </is>
      </c>
      <c r="B8" s="40" t="n">
        <v>13827.961</v>
      </c>
      <c r="C8" s="40" t="n">
        <v>-1754.143</v>
      </c>
      <c r="D8" s="40" t="n">
        <v>-1754.143</v>
      </c>
      <c r="E8" s="40" t="n">
        <v>0</v>
      </c>
    </row>
    <row r="9">
      <c r="A9" s="39" t="inlineStr">
        <is>
          <t>1995-05</t>
        </is>
      </c>
      <c r="B9" s="40" t="n">
        <v>13812.206</v>
      </c>
      <c r="C9" s="40" t="n">
        <v>-15.755</v>
      </c>
      <c r="D9" s="40" t="n">
        <v>-15.755</v>
      </c>
      <c r="E9" s="40" t="n">
        <v>0</v>
      </c>
    </row>
    <row r="10">
      <c r="A10" s="39" t="inlineStr">
        <is>
          <t>1995-06</t>
        </is>
      </c>
      <c r="B10" s="40" t="n">
        <v>13943.397</v>
      </c>
      <c r="C10" s="40" t="n">
        <v>131.191</v>
      </c>
      <c r="D10" s="40" t="n">
        <v>131.191</v>
      </c>
      <c r="E10" s="40" t="n">
        <v>0</v>
      </c>
    </row>
    <row r="11">
      <c r="A11" s="39" t="inlineStr">
        <is>
          <t>1995-07</t>
        </is>
      </c>
      <c r="B11" s="40" t="n">
        <v>15033.623</v>
      </c>
      <c r="C11" s="40" t="n">
        <v>1090.226</v>
      </c>
      <c r="D11" s="40" t="n">
        <v>1090.226</v>
      </c>
      <c r="E11" s="40" t="n">
        <v>0</v>
      </c>
    </row>
    <row r="12">
      <c r="A12" s="39" t="inlineStr">
        <is>
          <t>1995-08</t>
        </is>
      </c>
      <c r="B12" s="40" t="n">
        <v>15613.676</v>
      </c>
      <c r="C12" s="40" t="n">
        <v>580.053</v>
      </c>
      <c r="D12" s="40" t="n">
        <v>580.053</v>
      </c>
      <c r="E12" s="40" t="n">
        <v>0</v>
      </c>
    </row>
    <row r="13">
      <c r="A13" s="39" t="inlineStr">
        <is>
          <t>1995-09</t>
        </is>
      </c>
      <c r="B13" s="40" t="n">
        <v>13454.019</v>
      </c>
      <c r="C13" s="40" t="n">
        <v>-2159.657</v>
      </c>
      <c r="D13" s="40" t="n">
        <v>-2159.657</v>
      </c>
      <c r="E13" s="40" t="n">
        <v>0</v>
      </c>
    </row>
    <row r="14">
      <c r="A14" s="39" t="inlineStr">
        <is>
          <t>1995-10</t>
        </is>
      </c>
      <c r="B14" s="40" t="n">
        <v>15352.196</v>
      </c>
      <c r="C14" s="40" t="n">
        <v>1898.177</v>
      </c>
      <c r="D14" s="40" t="n">
        <v>1898.177</v>
      </c>
      <c r="E14" s="40" t="n">
        <v>0</v>
      </c>
    </row>
    <row r="15">
      <c r="A15" s="41" t="inlineStr">
        <is>
          <t>1995-11</t>
        </is>
      </c>
      <c r="B15" s="42" t="n">
        <v>15559.017</v>
      </c>
      <c r="C15" s="42" t="n">
        <v>206.821</v>
      </c>
      <c r="D15" s="42" t="n">
        <v>-3983.179</v>
      </c>
      <c r="E15" s="42" t="n">
        <v>-4190</v>
      </c>
    </row>
    <row r="16">
      <c r="A16" s="39" t="inlineStr">
        <is>
          <t>1995-12</t>
        </is>
      </c>
      <c r="B16" s="40" t="n">
        <v>21681.591</v>
      </c>
      <c r="C16" s="40" t="n">
        <v>6122.574</v>
      </c>
      <c r="D16" s="40" t="n">
        <v>6122.083</v>
      </c>
      <c r="E16" s="40" t="n">
        <v>-0.491</v>
      </c>
    </row>
    <row r="17">
      <c r="A17" s="39" t="inlineStr">
        <is>
          <t>1996-01</t>
        </is>
      </c>
      <c r="B17" s="40" t="n">
        <v>22433.703</v>
      </c>
      <c r="C17" s="40" t="n">
        <v>752.112</v>
      </c>
      <c r="D17" s="40" t="n">
        <v>752.603</v>
      </c>
      <c r="E17" s="40" t="n">
        <v>0.491</v>
      </c>
    </row>
    <row r="18">
      <c r="A18" s="39" t="inlineStr">
        <is>
          <t>1996-02</t>
        </is>
      </c>
      <c r="B18" s="40" t="n">
        <v>17007.151</v>
      </c>
      <c r="C18" s="40" t="n">
        <v>-5426.552</v>
      </c>
      <c r="D18" s="40" t="n">
        <v>-5426.552</v>
      </c>
      <c r="E18" s="40" t="n">
        <v>0</v>
      </c>
    </row>
    <row r="19">
      <c r="A19" s="39" t="inlineStr">
        <is>
          <t>1996-03</t>
        </is>
      </c>
      <c r="B19" s="40" t="n">
        <v>16185.537</v>
      </c>
      <c r="C19" s="40" t="n">
        <v>-821.614</v>
      </c>
      <c r="D19" s="40" t="n">
        <v>-821.614</v>
      </c>
      <c r="E19" s="40" t="n">
        <v>0</v>
      </c>
    </row>
    <row r="20">
      <c r="A20" s="39" t="inlineStr">
        <is>
          <t>1996-04</t>
        </is>
      </c>
      <c r="B20" s="40" t="n">
        <v>15001.636</v>
      </c>
      <c r="C20" s="40" t="n">
        <v>-1183.901</v>
      </c>
      <c r="D20" s="40" t="n">
        <v>-1183.901</v>
      </c>
      <c r="E20" s="40" t="n">
        <v>0</v>
      </c>
    </row>
    <row r="21">
      <c r="A21" s="39" t="inlineStr">
        <is>
          <t>1996-05</t>
        </is>
      </c>
      <c r="B21" s="40" t="n">
        <v>16271.648</v>
      </c>
      <c r="C21" s="40" t="n">
        <v>1270.012</v>
      </c>
      <c r="D21" s="40" t="n">
        <v>1270.009</v>
      </c>
      <c r="E21" s="40" t="n">
        <v>-0.003</v>
      </c>
    </row>
    <row r="22">
      <c r="A22" s="39" t="inlineStr">
        <is>
          <t>1996-06</t>
        </is>
      </c>
      <c r="B22" s="40" t="n">
        <v>16806.685</v>
      </c>
      <c r="C22" s="40" t="n">
        <v>535.037</v>
      </c>
      <c r="D22" s="40" t="n">
        <v>535.037</v>
      </c>
      <c r="E22" s="40" t="n">
        <v>0</v>
      </c>
    </row>
    <row r="23">
      <c r="A23" s="39" t="inlineStr">
        <is>
          <t>1996-07</t>
        </is>
      </c>
      <c r="B23" s="40" t="n">
        <v>18748.145</v>
      </c>
      <c r="C23" s="40" t="n">
        <v>1941.46</v>
      </c>
      <c r="D23" s="40" t="n">
        <v>1941.46</v>
      </c>
      <c r="E23" s="40" t="n">
        <v>0</v>
      </c>
    </row>
    <row r="24">
      <c r="A24" s="39" t="inlineStr">
        <is>
          <t>1996-08</t>
        </is>
      </c>
      <c r="B24" s="40" t="n">
        <v>15686.504</v>
      </c>
      <c r="C24" s="40" t="n">
        <v>-3061.641</v>
      </c>
      <c r="D24" s="40" t="n">
        <v>-3061.641</v>
      </c>
      <c r="E24" s="40" t="n">
        <v>0</v>
      </c>
    </row>
    <row r="25">
      <c r="A25" s="39" t="inlineStr">
        <is>
          <t>1996-09</t>
        </is>
      </c>
      <c r="B25" s="40" t="n">
        <v>20638.304</v>
      </c>
      <c r="C25" s="40" t="n">
        <v>4951.8</v>
      </c>
      <c r="D25" s="40" t="n">
        <v>4951.799</v>
      </c>
      <c r="E25" s="40" t="n">
        <v>-0.001</v>
      </c>
    </row>
    <row r="26">
      <c r="A26" s="39" t="inlineStr">
        <is>
          <t>1996-10</t>
        </is>
      </c>
      <c r="B26" s="40" t="n">
        <v>15564.832</v>
      </c>
      <c r="C26" s="40" t="n">
        <v>-5073.472</v>
      </c>
      <c r="D26" s="40" t="n">
        <v>-5073.472</v>
      </c>
      <c r="E26" s="40" t="n">
        <v>0</v>
      </c>
    </row>
    <row r="27">
      <c r="A27" s="39" t="inlineStr">
        <is>
          <t>1996-11</t>
        </is>
      </c>
      <c r="B27" s="40" t="n">
        <v>15668.464</v>
      </c>
      <c r="C27" s="40" t="n">
        <v>103.632</v>
      </c>
      <c r="D27" s="40" t="n">
        <v>103.632</v>
      </c>
      <c r="E27" s="40" t="n">
        <v>0</v>
      </c>
    </row>
    <row r="28">
      <c r="A28" s="39" t="inlineStr">
        <is>
          <t>1996-12</t>
        </is>
      </c>
      <c r="B28" s="40" t="n">
        <v>19795.697</v>
      </c>
      <c r="C28" s="40" t="n">
        <v>4127.233</v>
      </c>
      <c r="D28" s="40" t="n">
        <v>4127.233</v>
      </c>
      <c r="E28" s="40" t="n">
        <v>0</v>
      </c>
    </row>
    <row r="29">
      <c r="A29" s="39" t="inlineStr">
        <is>
          <t>1997-01</t>
        </is>
      </c>
      <c r="B29" s="40" t="n">
        <v>23859.941</v>
      </c>
      <c r="C29" s="40" t="n">
        <v>4064.244</v>
      </c>
      <c r="D29" s="40" t="n">
        <v>4064.244</v>
      </c>
      <c r="E29" s="40" t="n">
        <v>0</v>
      </c>
    </row>
    <row r="30">
      <c r="A30" s="39" t="inlineStr">
        <is>
          <t>1997-02</t>
        </is>
      </c>
      <c r="B30" s="40" t="n">
        <v>20285.377</v>
      </c>
      <c r="C30" s="40" t="n">
        <v>-3574.564</v>
      </c>
      <c r="D30" s="40" t="n">
        <v>-3574.564</v>
      </c>
      <c r="E30" s="40" t="n">
        <v>0</v>
      </c>
    </row>
    <row r="31">
      <c r="A31" s="39" t="inlineStr">
        <is>
          <t>1997-03</t>
        </is>
      </c>
      <c r="B31" s="40" t="n">
        <v>22324.34</v>
      </c>
      <c r="C31" s="40" t="n">
        <v>2038.963</v>
      </c>
      <c r="D31" s="40" t="n">
        <v>2038.963</v>
      </c>
      <c r="E31" s="40" t="n">
        <v>0</v>
      </c>
    </row>
    <row r="32">
      <c r="A32" s="41" t="inlineStr">
        <is>
          <t>1997-04</t>
        </is>
      </c>
      <c r="B32" s="42" t="n">
        <v>27291.306</v>
      </c>
      <c r="C32" s="42" t="n">
        <v>4966.966</v>
      </c>
      <c r="D32" s="42" t="n">
        <v>4952.517</v>
      </c>
      <c r="E32" s="42" t="n">
        <v>-14.449</v>
      </c>
    </row>
    <row r="33">
      <c r="A33" s="39" t="inlineStr">
        <is>
          <t>1997-05</t>
        </is>
      </c>
      <c r="B33" s="40" t="n">
        <v>21740.103</v>
      </c>
      <c r="C33" s="40" t="n">
        <v>-5551.203</v>
      </c>
      <c r="D33" s="40" t="n">
        <v>-5551.203</v>
      </c>
      <c r="E33" s="40" t="n">
        <v>0</v>
      </c>
    </row>
    <row r="34">
      <c r="A34" s="39" t="inlineStr">
        <is>
          <t>1997-06</t>
        </is>
      </c>
      <c r="B34" s="40" t="n">
        <v>24688.145</v>
      </c>
      <c r="C34" s="40" t="n">
        <v>2948.042</v>
      </c>
      <c r="D34" s="40" t="n">
        <v>2948.042</v>
      </c>
      <c r="E34" s="40" t="n">
        <v>0</v>
      </c>
    </row>
    <row r="35">
      <c r="A35" s="39" t="inlineStr">
        <is>
          <t>1997-07</t>
        </is>
      </c>
      <c r="B35" s="40" t="n">
        <v>24215.769</v>
      </c>
      <c r="C35" s="40" t="n">
        <v>-472.376</v>
      </c>
      <c r="D35" s="40" t="n">
        <v>-472.376</v>
      </c>
      <c r="E35" s="40" t="n">
        <v>0</v>
      </c>
    </row>
    <row r="36">
      <c r="A36" s="39" t="inlineStr">
        <is>
          <t>1997-08</t>
        </is>
      </c>
      <c r="B36" s="40" t="n">
        <v>21867.701</v>
      </c>
      <c r="C36" s="40" t="n">
        <v>-2348.068</v>
      </c>
      <c r="D36" s="40" t="n">
        <v>-2348.068</v>
      </c>
      <c r="E36" s="40" t="n">
        <v>0</v>
      </c>
    </row>
    <row r="37">
      <c r="A37" s="39" t="inlineStr">
        <is>
          <t>1997-09</t>
        </is>
      </c>
      <c r="B37" s="40" t="n">
        <v>24700.091</v>
      </c>
      <c r="C37" s="40" t="n">
        <v>2832.39</v>
      </c>
      <c r="D37" s="40" t="n">
        <v>2832.39</v>
      </c>
      <c r="E37" s="40" t="n">
        <v>0</v>
      </c>
    </row>
    <row r="38">
      <c r="A38" s="39" t="inlineStr">
        <is>
          <t>1997-10</t>
        </is>
      </c>
      <c r="B38" s="40" t="n">
        <v>26147.409</v>
      </c>
      <c r="C38" s="40" t="n">
        <v>1447.318</v>
      </c>
      <c r="D38" s="40" t="n">
        <v>1447.318</v>
      </c>
      <c r="E38" s="40" t="n">
        <v>0</v>
      </c>
    </row>
    <row r="39">
      <c r="A39" s="39" t="inlineStr">
        <is>
          <t>1997-11</t>
        </is>
      </c>
      <c r="B39" s="40" t="n">
        <v>22972.423</v>
      </c>
      <c r="C39" s="40" t="n">
        <v>-3174.986</v>
      </c>
      <c r="D39" s="40" t="n">
        <v>-3175.357</v>
      </c>
      <c r="E39" s="40" t="n">
        <v>-0.371</v>
      </c>
    </row>
    <row r="40">
      <c r="A40" s="39" t="inlineStr">
        <is>
          <t>1997-12</t>
        </is>
      </c>
      <c r="B40" s="40" t="n">
        <v>31828.332</v>
      </c>
      <c r="C40" s="40" t="n">
        <v>8855.909</v>
      </c>
      <c r="D40" s="40" t="n">
        <v>8855.909</v>
      </c>
      <c r="E40" s="40" t="n">
        <v>0</v>
      </c>
    </row>
    <row r="41">
      <c r="A41" s="39" t="inlineStr">
        <is>
          <t>1998-01</t>
        </is>
      </c>
      <c r="B41" s="40" t="n">
        <v>30564.327</v>
      </c>
      <c r="C41" s="40" t="n">
        <v>-1264.005</v>
      </c>
      <c r="D41" s="40" t="n">
        <v>-1264.005</v>
      </c>
      <c r="E41" s="40" t="n">
        <v>0</v>
      </c>
    </row>
    <row r="42">
      <c r="A42" s="39" t="inlineStr">
        <is>
          <t>1998-02</t>
        </is>
      </c>
      <c r="B42" s="40" t="n">
        <v>29091.028</v>
      </c>
      <c r="C42" s="40" t="n">
        <v>-1473.299</v>
      </c>
      <c r="D42" s="40" t="n">
        <v>-1473.3</v>
      </c>
      <c r="E42" s="40" t="n">
        <v>-0.001</v>
      </c>
    </row>
    <row r="43">
      <c r="A43" s="39" t="inlineStr">
        <is>
          <t>1998-03</t>
        </is>
      </c>
      <c r="B43" s="40" t="n">
        <v>29985.079</v>
      </c>
      <c r="C43" s="40" t="n">
        <v>894.051</v>
      </c>
      <c r="D43" s="40" t="n">
        <v>894.052</v>
      </c>
      <c r="E43" s="40" t="n">
        <v>0.001</v>
      </c>
    </row>
    <row r="44">
      <c r="A44" s="39" t="inlineStr">
        <is>
          <t>1998-04</t>
        </is>
      </c>
      <c r="B44" s="40" t="n">
        <v>30655.275</v>
      </c>
      <c r="C44" s="40" t="n">
        <v>670.196</v>
      </c>
      <c r="D44" s="40" t="n">
        <v>670.1950000000001</v>
      </c>
      <c r="E44" s="40" t="n">
        <v>-0.001</v>
      </c>
    </row>
    <row r="45">
      <c r="A45" s="39" t="inlineStr">
        <is>
          <t>1998-05</t>
        </is>
      </c>
      <c r="B45" s="40" t="n">
        <v>31099.191</v>
      </c>
      <c r="C45" s="40" t="n">
        <v>443.916</v>
      </c>
      <c r="D45" s="40" t="n">
        <v>443.917</v>
      </c>
      <c r="E45" s="40" t="n">
        <v>0.001</v>
      </c>
    </row>
    <row r="46">
      <c r="A46" s="39" t="inlineStr">
        <is>
          <t>1998-06</t>
        </is>
      </c>
      <c r="B46" s="40" t="n">
        <v>37221.147</v>
      </c>
      <c r="C46" s="40" t="n">
        <v>6121.956</v>
      </c>
      <c r="D46" s="40" t="n">
        <v>6121.956</v>
      </c>
      <c r="E46" s="40" t="n">
        <v>0</v>
      </c>
    </row>
    <row r="47">
      <c r="A47" s="39" t="inlineStr">
        <is>
          <t>1998-07</t>
        </is>
      </c>
      <c r="B47" s="40" t="n">
        <v>32985.867</v>
      </c>
      <c r="C47" s="40" t="n">
        <v>-4235.28</v>
      </c>
      <c r="D47" s="40" t="n">
        <v>-4235.28</v>
      </c>
      <c r="E47" s="40" t="n">
        <v>0</v>
      </c>
    </row>
    <row r="48">
      <c r="A48" s="39" t="inlineStr">
        <is>
          <t>1998-08</t>
        </is>
      </c>
      <c r="B48" s="40" t="n">
        <v>35412.822</v>
      </c>
      <c r="C48" s="40" t="n">
        <v>2426.955</v>
      </c>
      <c r="D48" s="40" t="n">
        <v>2426.955</v>
      </c>
      <c r="E48" s="40" t="n">
        <v>0</v>
      </c>
    </row>
    <row r="49">
      <c r="A49" s="39" t="inlineStr">
        <is>
          <t>1998-09</t>
        </is>
      </c>
      <c r="B49" s="40" t="n">
        <v>32002.091</v>
      </c>
      <c r="C49" s="40" t="n">
        <v>-3410.731</v>
      </c>
      <c r="D49" s="40" t="n">
        <v>-3410.731</v>
      </c>
      <c r="E49" s="40" t="n">
        <v>0</v>
      </c>
    </row>
    <row r="50">
      <c r="A50" s="39" t="inlineStr">
        <is>
          <t>1998-10</t>
        </is>
      </c>
      <c r="B50" s="40" t="n">
        <v>32826.436</v>
      </c>
      <c r="C50" s="40" t="n">
        <v>824.345</v>
      </c>
      <c r="D50" s="40" t="n">
        <v>824.345</v>
      </c>
      <c r="E50" s="40" t="n">
        <v>0</v>
      </c>
    </row>
    <row r="51">
      <c r="A51" s="39" t="inlineStr">
        <is>
          <t>1998-11</t>
        </is>
      </c>
      <c r="B51" s="40" t="n">
        <v>39737.748</v>
      </c>
      <c r="C51" s="40" t="n">
        <v>6911.312</v>
      </c>
      <c r="D51" s="40" t="n">
        <v>6911.69</v>
      </c>
      <c r="E51" s="40" t="n">
        <v>0.378</v>
      </c>
    </row>
    <row r="52">
      <c r="A52" s="41" t="inlineStr">
        <is>
          <t>1998-12</t>
        </is>
      </c>
      <c r="B52" s="42" t="n">
        <v>39184.378</v>
      </c>
      <c r="C52" s="42" t="n">
        <v>-553.37</v>
      </c>
      <c r="D52" s="42" t="n">
        <v>-558.476</v>
      </c>
      <c r="E52" s="42" t="n">
        <v>-5.106</v>
      </c>
    </row>
    <row r="53">
      <c r="A53" s="41" t="inlineStr">
        <is>
          <t>1999-01</t>
        </is>
      </c>
      <c r="B53" s="42" t="n">
        <v>39635.374</v>
      </c>
      <c r="C53" s="42" t="n">
        <v>450.996</v>
      </c>
      <c r="D53" s="42" t="n">
        <v>444.109</v>
      </c>
      <c r="E53" s="42" t="n">
        <v>-6.887</v>
      </c>
    </row>
    <row r="54">
      <c r="A54" s="39" t="inlineStr">
        <is>
          <t>1999-02</t>
        </is>
      </c>
      <c r="B54" s="40" t="n">
        <v>37856.112</v>
      </c>
      <c r="C54" s="40" t="n">
        <v>-1779.262</v>
      </c>
      <c r="D54" s="40" t="n">
        <v>-1779.247</v>
      </c>
      <c r="E54" s="40" t="n">
        <v>0.015</v>
      </c>
    </row>
    <row r="55">
      <c r="A55" s="41" t="inlineStr">
        <is>
          <t>1999-03</t>
        </is>
      </c>
      <c r="B55" s="42" t="n">
        <v>37232.284</v>
      </c>
      <c r="C55" s="42" t="n">
        <v>-623.828</v>
      </c>
      <c r="D55" s="42" t="n">
        <v>-624.5309999999999</v>
      </c>
      <c r="E55" s="42" t="n">
        <v>-0.703</v>
      </c>
    </row>
    <row r="56">
      <c r="A56" s="39" t="inlineStr">
        <is>
          <t>1999-04</t>
        </is>
      </c>
      <c r="B56" s="40" t="n">
        <v>36351.614</v>
      </c>
      <c r="C56" s="40" t="n">
        <v>-880.67</v>
      </c>
      <c r="D56" s="40" t="n">
        <v>-880.67</v>
      </c>
      <c r="E56" s="40" t="n">
        <v>0</v>
      </c>
    </row>
    <row r="57">
      <c r="A57" s="39" t="inlineStr">
        <is>
          <t>1999-05</t>
        </is>
      </c>
      <c r="B57" s="40" t="n">
        <v>40434.992</v>
      </c>
      <c r="C57" s="40" t="n">
        <v>4083.378</v>
      </c>
      <c r="D57" s="40" t="n">
        <v>4083.378</v>
      </c>
      <c r="E57" s="40" t="n">
        <v>0</v>
      </c>
    </row>
    <row r="58">
      <c r="A58" s="39" t="inlineStr">
        <is>
          <t>1999-06</t>
        </is>
      </c>
      <c r="B58" s="40" t="n">
        <v>33177.584</v>
      </c>
      <c r="C58" s="40" t="n">
        <v>-7257.408</v>
      </c>
      <c r="D58" s="40" t="n">
        <v>-7257.478</v>
      </c>
      <c r="E58" s="40" t="n">
        <v>-0.07000000000000001</v>
      </c>
    </row>
    <row r="59">
      <c r="A59" s="39" t="inlineStr">
        <is>
          <t>1999-07</t>
        </is>
      </c>
      <c r="B59" s="40" t="n">
        <v>41162.443</v>
      </c>
      <c r="C59" s="40" t="n">
        <v>7984.859</v>
      </c>
      <c r="D59" s="40" t="n">
        <v>7984.859</v>
      </c>
      <c r="E59" s="40" t="n">
        <v>0</v>
      </c>
    </row>
    <row r="60">
      <c r="A60" s="39" t="inlineStr">
        <is>
          <t>1999-08</t>
        </is>
      </c>
      <c r="B60" s="40" t="n">
        <v>33870.441</v>
      </c>
      <c r="C60" s="40" t="n">
        <v>-7292.002</v>
      </c>
      <c r="D60" s="40" t="n">
        <v>-7292.002</v>
      </c>
      <c r="E60" s="40" t="n">
        <v>0</v>
      </c>
    </row>
    <row r="61">
      <c r="A61" s="39" t="inlineStr">
        <is>
          <t>1999-09</t>
        </is>
      </c>
      <c r="B61" s="40" t="n">
        <v>35970.589</v>
      </c>
      <c r="C61" s="40" t="n">
        <v>2100.148</v>
      </c>
      <c r="D61" s="40" t="n">
        <v>2100.148</v>
      </c>
      <c r="E61" s="40" t="n">
        <v>0</v>
      </c>
    </row>
    <row r="62">
      <c r="A62" s="39" t="inlineStr">
        <is>
          <t>1999-10</t>
        </is>
      </c>
      <c r="B62" s="40" t="n">
        <v>35849.684</v>
      </c>
      <c r="C62" s="40" t="n">
        <v>-120.905</v>
      </c>
      <c r="D62" s="40" t="n">
        <v>-120.904</v>
      </c>
      <c r="E62" s="40" t="n">
        <v>0.001</v>
      </c>
    </row>
    <row r="63">
      <c r="A63" s="39" t="inlineStr">
        <is>
          <t>1999-11</t>
        </is>
      </c>
      <c r="B63" s="40" t="n">
        <v>37337.401</v>
      </c>
      <c r="C63" s="40" t="n">
        <v>1487.717</v>
      </c>
      <c r="D63" s="40" t="n">
        <v>1487.717</v>
      </c>
      <c r="E63" s="40" t="n">
        <v>0</v>
      </c>
    </row>
    <row r="64">
      <c r="A64" s="39" t="inlineStr">
        <is>
          <t>1999-12</t>
        </is>
      </c>
      <c r="B64" s="40" t="n">
        <v>48430.157</v>
      </c>
      <c r="C64" s="40" t="n">
        <v>11092.756</v>
      </c>
      <c r="D64" s="40" t="n">
        <v>11092.756</v>
      </c>
      <c r="E64" s="40" t="n">
        <v>0</v>
      </c>
    </row>
    <row r="65">
      <c r="A65" s="39" t="inlineStr">
        <is>
          <t>2000-01</t>
        </is>
      </c>
      <c r="B65" s="40" t="n">
        <v>41892.638</v>
      </c>
      <c r="C65" s="40" t="n">
        <v>-6537.519</v>
      </c>
      <c r="D65" s="40" t="n">
        <v>-6537.519</v>
      </c>
      <c r="E65" s="40" t="n">
        <v>0</v>
      </c>
    </row>
    <row r="66">
      <c r="A66" s="41" t="inlineStr">
        <is>
          <t>2000-02</t>
        </is>
      </c>
      <c r="B66" s="42" t="n">
        <v>41920.442</v>
      </c>
      <c r="C66" s="42" t="n">
        <v>27.804</v>
      </c>
      <c r="D66" s="42" t="n">
        <v>35.611</v>
      </c>
      <c r="E66" s="42" t="n">
        <v>7.807</v>
      </c>
    </row>
    <row r="67">
      <c r="A67" s="39" t="inlineStr">
        <is>
          <t>2000-03</t>
        </is>
      </c>
      <c r="B67" s="40" t="n">
        <v>39093.507</v>
      </c>
      <c r="C67" s="40" t="n">
        <v>-2826.935</v>
      </c>
      <c r="D67" s="40" t="n">
        <v>-2826.935</v>
      </c>
      <c r="E67" s="40" t="n">
        <v>0</v>
      </c>
    </row>
    <row r="68">
      <c r="A68" s="39" t="inlineStr">
        <is>
          <t>2000-04</t>
        </is>
      </c>
      <c r="B68" s="40" t="n">
        <v>37720.874</v>
      </c>
      <c r="C68" s="40" t="n">
        <v>-1372.633</v>
      </c>
      <c r="D68" s="40" t="n">
        <v>-1372.633</v>
      </c>
      <c r="E68" s="40" t="n">
        <v>0</v>
      </c>
    </row>
    <row r="69">
      <c r="A69" s="39" t="inlineStr">
        <is>
          <t>2000-05</t>
        </is>
      </c>
      <c r="B69" s="40" t="n">
        <v>35875.831</v>
      </c>
      <c r="C69" s="40" t="n">
        <v>-1845.043</v>
      </c>
      <c r="D69" s="40" t="n">
        <v>-1845.043</v>
      </c>
      <c r="E69" s="40" t="n">
        <v>0</v>
      </c>
    </row>
    <row r="70">
      <c r="A70" s="39" t="inlineStr">
        <is>
          <t>2000-06</t>
        </is>
      </c>
      <c r="B70" s="40" t="n">
        <v>32316.217</v>
      </c>
      <c r="C70" s="40" t="n">
        <v>-3559.614</v>
      </c>
      <c r="D70" s="40" t="n">
        <v>-3559.614</v>
      </c>
      <c r="E70" s="40" t="n">
        <v>0</v>
      </c>
    </row>
    <row r="71">
      <c r="A71" s="39" t="inlineStr">
        <is>
          <t>2000-07</t>
        </is>
      </c>
      <c r="B71" s="40" t="n">
        <v>36452.164</v>
      </c>
      <c r="C71" s="40" t="n">
        <v>4135.947</v>
      </c>
      <c r="D71" s="40" t="n">
        <v>4135.946</v>
      </c>
      <c r="E71" s="40" t="n">
        <v>-0.001</v>
      </c>
    </row>
    <row r="72">
      <c r="A72" s="39" t="inlineStr">
        <is>
          <t>2000-08</t>
        </is>
      </c>
      <c r="B72" s="40" t="n">
        <v>39122.151</v>
      </c>
      <c r="C72" s="40" t="n">
        <v>2669.987</v>
      </c>
      <c r="D72" s="40" t="n">
        <v>2669.987</v>
      </c>
      <c r="E72" s="40" t="n">
        <v>0</v>
      </c>
    </row>
    <row r="73">
      <c r="A73" s="39" t="inlineStr">
        <is>
          <t>2000-09</t>
        </is>
      </c>
      <c r="B73" s="40" t="n">
        <v>37521.173</v>
      </c>
      <c r="C73" s="40" t="n">
        <v>-1600.978</v>
      </c>
      <c r="D73" s="40" t="n">
        <v>-1600.978</v>
      </c>
      <c r="E73" s="40" t="n">
        <v>0</v>
      </c>
    </row>
    <row r="74">
      <c r="A74" s="39" t="inlineStr">
        <is>
          <t>2000-10</t>
        </is>
      </c>
      <c r="B74" s="40" t="n">
        <v>38636.085</v>
      </c>
      <c r="C74" s="40" t="n">
        <v>1114.912</v>
      </c>
      <c r="D74" s="40" t="n">
        <v>1115.105</v>
      </c>
      <c r="E74" s="40" t="n">
        <v>0.193</v>
      </c>
    </row>
    <row r="75">
      <c r="A75" s="39" t="inlineStr">
        <is>
          <t>2000-11</t>
        </is>
      </c>
      <c r="B75" s="40" t="n">
        <v>40730.882</v>
      </c>
      <c r="C75" s="40" t="n">
        <v>2094.797</v>
      </c>
      <c r="D75" s="40" t="n">
        <v>2094.797</v>
      </c>
      <c r="E75" s="40" t="n">
        <v>0</v>
      </c>
    </row>
    <row r="76">
      <c r="A76" s="39" t="inlineStr">
        <is>
          <t>2000-12</t>
        </is>
      </c>
      <c r="B76" s="40" t="n">
        <v>47686.213</v>
      </c>
      <c r="C76" s="40" t="n">
        <v>6955.331</v>
      </c>
      <c r="D76" s="40" t="n">
        <v>6955.331</v>
      </c>
      <c r="E76" s="40" t="n">
        <v>0</v>
      </c>
    </row>
    <row r="77">
      <c r="A77" s="39" t="inlineStr">
        <is>
          <t>2001-01</t>
        </is>
      </c>
      <c r="B77" s="40" t="n">
        <v>42363.82</v>
      </c>
      <c r="C77" s="40" t="n">
        <v>-5322.393</v>
      </c>
      <c r="D77" s="40" t="n">
        <v>-5322.393</v>
      </c>
      <c r="E77" s="40" t="n">
        <v>0</v>
      </c>
    </row>
    <row r="78">
      <c r="A78" s="39" t="inlineStr">
        <is>
          <t>2001-02</t>
        </is>
      </c>
      <c r="B78" s="40" t="n">
        <v>47891.196</v>
      </c>
      <c r="C78" s="40" t="n">
        <v>5527.376</v>
      </c>
      <c r="D78" s="40" t="n">
        <v>5527.376</v>
      </c>
      <c r="E78" s="40" t="n">
        <v>0</v>
      </c>
    </row>
    <row r="79">
      <c r="A79" s="39" t="inlineStr">
        <is>
          <t>2001-03</t>
        </is>
      </c>
      <c r="B79" s="40" t="n">
        <v>41367.748</v>
      </c>
      <c r="C79" s="40" t="n">
        <v>-6523.448</v>
      </c>
      <c r="D79" s="40" t="n">
        <v>-6523.448</v>
      </c>
      <c r="E79" s="40" t="n">
        <v>0</v>
      </c>
    </row>
    <row r="80">
      <c r="A80" s="39" t="inlineStr">
        <is>
          <t>2001-04</t>
        </is>
      </c>
      <c r="B80" s="40" t="n">
        <v>40910.723</v>
      </c>
      <c r="C80" s="40" t="n">
        <v>-457.025</v>
      </c>
      <c r="D80" s="40" t="n">
        <v>-456.844</v>
      </c>
      <c r="E80" s="40" t="n">
        <v>0.181</v>
      </c>
    </row>
    <row r="81">
      <c r="A81" s="39" t="inlineStr">
        <is>
          <t>2001-05</t>
        </is>
      </c>
      <c r="B81" s="40" t="n">
        <v>41452.767</v>
      </c>
      <c r="C81" s="40" t="n">
        <v>542.044</v>
      </c>
      <c r="D81" s="40" t="n">
        <v>542.044</v>
      </c>
      <c r="E81" s="40" t="n">
        <v>0</v>
      </c>
    </row>
    <row r="82">
      <c r="A82" s="39" t="inlineStr">
        <is>
          <t>2001-06</t>
        </is>
      </c>
      <c r="B82" s="40" t="n">
        <v>41974.056</v>
      </c>
      <c r="C82" s="40" t="n">
        <v>521.289</v>
      </c>
      <c r="D82" s="40" t="n">
        <v>521.289</v>
      </c>
      <c r="E82" s="40" t="n">
        <v>0</v>
      </c>
    </row>
    <row r="83">
      <c r="A83" s="39" t="inlineStr">
        <is>
          <t>2001-07</t>
        </is>
      </c>
      <c r="B83" s="40" t="n">
        <v>41594.145</v>
      </c>
      <c r="C83" s="40" t="n">
        <v>-379.911</v>
      </c>
      <c r="D83" s="40" t="n">
        <v>-379.911</v>
      </c>
      <c r="E83" s="40" t="n">
        <v>0</v>
      </c>
    </row>
    <row r="84">
      <c r="A84" s="39" t="inlineStr">
        <is>
          <t>2001-08</t>
        </is>
      </c>
      <c r="B84" s="40" t="n">
        <v>42629.109</v>
      </c>
      <c r="C84" s="40" t="n">
        <v>1034.964</v>
      </c>
      <c r="D84" s="40" t="n">
        <v>1034.964</v>
      </c>
      <c r="E84" s="40" t="n">
        <v>0</v>
      </c>
    </row>
    <row r="85">
      <c r="A85" s="39" t="inlineStr">
        <is>
          <t>2001-09</t>
        </is>
      </c>
      <c r="B85" s="40" t="n">
        <v>45482.012</v>
      </c>
      <c r="C85" s="40" t="n">
        <v>2852.903</v>
      </c>
      <c r="D85" s="40" t="n">
        <v>2852.903</v>
      </c>
      <c r="E85" s="40" t="n">
        <v>0</v>
      </c>
    </row>
    <row r="86">
      <c r="A86" s="39" t="inlineStr">
        <is>
          <t>2001-10</t>
        </is>
      </c>
      <c r="B86" s="40" t="n">
        <v>43074.939</v>
      </c>
      <c r="C86" s="40" t="n">
        <v>-2407.073</v>
      </c>
      <c r="D86" s="40" t="n">
        <v>-2407.073</v>
      </c>
      <c r="E86" s="40" t="n">
        <v>0</v>
      </c>
    </row>
    <row r="87">
      <c r="A87" s="39" t="inlineStr">
        <is>
          <t>2001-11</t>
        </is>
      </c>
      <c r="B87" s="40" t="n">
        <v>46234.267</v>
      </c>
      <c r="C87" s="40" t="n">
        <v>3159.328</v>
      </c>
      <c r="D87" s="40" t="n">
        <v>3159.176</v>
      </c>
      <c r="E87" s="40" t="n">
        <v>-0.152</v>
      </c>
    </row>
    <row r="88">
      <c r="A88" s="39" t="inlineStr">
        <is>
          <t>2001-12</t>
        </is>
      </c>
      <c r="B88" s="40" t="n">
        <v>53255.971</v>
      </c>
      <c r="C88" s="40" t="n">
        <v>7021.704</v>
      </c>
      <c r="D88" s="40" t="n">
        <v>7021.704</v>
      </c>
      <c r="E88" s="40" t="n">
        <v>0</v>
      </c>
    </row>
    <row r="89">
      <c r="A89" s="39" t="inlineStr">
        <is>
          <t>2002-01</t>
        </is>
      </c>
      <c r="B89" s="40" t="n">
        <v>49722.831</v>
      </c>
      <c r="C89" s="40" t="n">
        <v>-3533.14</v>
      </c>
      <c r="D89" s="40" t="n">
        <v>-3533.14</v>
      </c>
      <c r="E89" s="40" t="n">
        <v>0</v>
      </c>
    </row>
    <row r="90">
      <c r="A90" s="39" t="inlineStr">
        <is>
          <t>2002-02</t>
        </is>
      </c>
      <c r="B90" s="40" t="n">
        <v>47891.206</v>
      </c>
      <c r="C90" s="40" t="n">
        <v>-1831.625</v>
      </c>
      <c r="D90" s="40" t="n">
        <v>-1831.625</v>
      </c>
      <c r="E90" s="40" t="n">
        <v>0</v>
      </c>
    </row>
    <row r="91">
      <c r="A91" s="39" t="inlineStr">
        <is>
          <t>2002-03</t>
        </is>
      </c>
      <c r="B91" s="40" t="n">
        <v>48854.685</v>
      </c>
      <c r="C91" s="40" t="n">
        <v>963.479</v>
      </c>
      <c r="D91" s="40" t="n">
        <v>963.48</v>
      </c>
      <c r="E91" s="40" t="n">
        <v>0.001</v>
      </c>
    </row>
    <row r="92">
      <c r="A92" s="39" t="inlineStr">
        <is>
          <t>2002-04</t>
        </is>
      </c>
      <c r="B92" s="40" t="n">
        <v>46745.596</v>
      </c>
      <c r="C92" s="40" t="n">
        <v>-2109.089</v>
      </c>
      <c r="D92" s="40" t="n">
        <v>-2109.089</v>
      </c>
      <c r="E92" s="40" t="n">
        <v>0</v>
      </c>
    </row>
    <row r="93">
      <c r="A93" s="39" t="inlineStr">
        <is>
          <t>2002-05</t>
        </is>
      </c>
      <c r="B93" s="40" t="n">
        <v>51513.188</v>
      </c>
      <c r="C93" s="40" t="n">
        <v>4767.592</v>
      </c>
      <c r="D93" s="40" t="n">
        <v>4767.592</v>
      </c>
      <c r="E93" s="40" t="n">
        <v>0</v>
      </c>
    </row>
    <row r="94">
      <c r="A94" s="39" t="inlineStr">
        <is>
          <t>2002-06</t>
        </is>
      </c>
      <c r="B94" s="40" t="n">
        <v>50692.546</v>
      </c>
      <c r="C94" s="40" t="n">
        <v>-820.6420000000001</v>
      </c>
      <c r="D94" s="40" t="n">
        <v>-820.6420000000001</v>
      </c>
      <c r="E94" s="40" t="n">
        <v>0</v>
      </c>
    </row>
    <row r="95">
      <c r="A95" s="39" t="inlineStr">
        <is>
          <t>2002-07</t>
        </is>
      </c>
      <c r="B95" s="40" t="n">
        <v>52432.527</v>
      </c>
      <c r="C95" s="40" t="n">
        <v>1739.981</v>
      </c>
      <c r="D95" s="40" t="n">
        <v>1739.981</v>
      </c>
      <c r="E95" s="40" t="n">
        <v>0</v>
      </c>
    </row>
    <row r="96">
      <c r="A96" s="39" t="inlineStr">
        <is>
          <t>2002-08</t>
        </is>
      </c>
      <c r="B96" s="40" t="n">
        <v>54985.471</v>
      </c>
      <c r="C96" s="40" t="n">
        <v>2552.944</v>
      </c>
      <c r="D96" s="40" t="n">
        <v>2552.944</v>
      </c>
      <c r="E96" s="40" t="n">
        <v>0</v>
      </c>
    </row>
    <row r="97">
      <c r="A97" s="39" t="inlineStr">
        <is>
          <t>2002-09</t>
        </is>
      </c>
      <c r="B97" s="40" t="n">
        <v>60769.701</v>
      </c>
      <c r="C97" s="40" t="n">
        <v>5784.23</v>
      </c>
      <c r="D97" s="40" t="n">
        <v>5784.23</v>
      </c>
      <c r="E97" s="40" t="n">
        <v>0</v>
      </c>
    </row>
    <row r="98">
      <c r="A98" s="39" t="inlineStr">
        <is>
          <t>2002-10</t>
        </is>
      </c>
      <c r="B98" s="40" t="n">
        <v>60640.131</v>
      </c>
      <c r="C98" s="40" t="n">
        <v>-129.57</v>
      </c>
      <c r="D98" s="40" t="n">
        <v>-129.57</v>
      </c>
      <c r="E98" s="40" t="n">
        <v>0</v>
      </c>
    </row>
    <row r="99">
      <c r="A99" s="39" t="inlineStr">
        <is>
          <t>2002-11</t>
        </is>
      </c>
      <c r="B99" s="40" t="n">
        <v>60558.939</v>
      </c>
      <c r="C99" s="40" t="n">
        <v>-81.19199999999999</v>
      </c>
      <c r="D99" s="40" t="n">
        <v>-81.19199999999999</v>
      </c>
      <c r="E99" s="40" t="n">
        <v>0</v>
      </c>
    </row>
    <row r="100">
      <c r="A100" s="39" t="inlineStr">
        <is>
          <t>2002-12</t>
        </is>
      </c>
      <c r="B100" s="40" t="n">
        <v>73302.272</v>
      </c>
      <c r="C100" s="40" t="n">
        <v>12743.333</v>
      </c>
      <c r="D100" s="40" t="n">
        <v>12743.333</v>
      </c>
      <c r="E100" s="40" t="n">
        <v>0</v>
      </c>
    </row>
    <row r="101">
      <c r="A101" s="39" t="inlineStr">
        <is>
          <t>2003-01</t>
        </is>
      </c>
      <c r="B101" s="40" t="n">
        <v>64370.257</v>
      </c>
      <c r="C101" s="40" t="n">
        <v>-8932.014999999999</v>
      </c>
      <c r="D101" s="40" t="n">
        <v>-8932.014999999999</v>
      </c>
      <c r="E101" s="40" t="n">
        <v>0</v>
      </c>
    </row>
    <row r="102">
      <c r="A102" s="39" t="inlineStr">
        <is>
          <t>2003-02</t>
        </is>
      </c>
      <c r="B102" s="40" t="n">
        <v>67494.433</v>
      </c>
      <c r="C102" s="40" t="n">
        <v>3124.176</v>
      </c>
      <c r="D102" s="40" t="n">
        <v>3124.176</v>
      </c>
      <c r="E102" s="40" t="n">
        <v>0</v>
      </c>
    </row>
    <row r="103">
      <c r="A103" s="39" t="inlineStr">
        <is>
          <t>2003-03</t>
        </is>
      </c>
      <c r="B103" s="40" t="n">
        <v>66032.455</v>
      </c>
      <c r="C103" s="40" t="n">
        <v>-1461.978</v>
      </c>
      <c r="D103" s="40" t="n">
        <v>-1461.978</v>
      </c>
      <c r="E103" s="40" t="n">
        <v>0</v>
      </c>
    </row>
    <row r="104">
      <c r="A104" s="39" t="inlineStr">
        <is>
          <t>2003-04</t>
        </is>
      </c>
      <c r="B104" s="40" t="n">
        <v>68228.788</v>
      </c>
      <c r="C104" s="40" t="n">
        <v>2196.333</v>
      </c>
      <c r="D104" s="40" t="n">
        <v>2196.333</v>
      </c>
      <c r="E104" s="40" t="n">
        <v>0</v>
      </c>
    </row>
    <row r="105">
      <c r="A105" s="39" t="inlineStr">
        <is>
          <t>2003-05</t>
        </is>
      </c>
      <c r="B105" s="40" t="n">
        <v>65113.594</v>
      </c>
      <c r="C105" s="40" t="n">
        <v>-3115.194</v>
      </c>
      <c r="D105" s="40" t="n">
        <v>-3115.194</v>
      </c>
      <c r="E105" s="40" t="n">
        <v>0</v>
      </c>
    </row>
    <row r="106">
      <c r="A106" s="39" t="inlineStr">
        <is>
          <t>2003-06</t>
        </is>
      </c>
      <c r="B106" s="40" t="n">
        <v>63837.941</v>
      </c>
      <c r="C106" s="40" t="n">
        <v>-1275.653</v>
      </c>
      <c r="D106" s="40" t="n">
        <v>-1275.653</v>
      </c>
      <c r="E106" s="40" t="n">
        <v>0</v>
      </c>
    </row>
    <row r="107">
      <c r="A107" s="39" t="inlineStr">
        <is>
          <t>2003-07</t>
        </is>
      </c>
      <c r="B107" s="40" t="n">
        <v>67841.20600000001</v>
      </c>
      <c r="C107" s="40" t="n">
        <v>4003.265</v>
      </c>
      <c r="D107" s="40" t="n">
        <v>4003.265</v>
      </c>
      <c r="E107" s="40" t="n">
        <v>0</v>
      </c>
    </row>
    <row r="108">
      <c r="A108" s="39" t="inlineStr">
        <is>
          <t>2003-08</t>
        </is>
      </c>
      <c r="B108" s="40" t="n">
        <v>58430.02</v>
      </c>
      <c r="C108" s="40" t="n">
        <v>-9411.186</v>
      </c>
      <c r="D108" s="40" t="n">
        <v>-9411.186</v>
      </c>
      <c r="E108" s="40" t="n">
        <v>0</v>
      </c>
    </row>
    <row r="109">
      <c r="A109" s="39" t="inlineStr">
        <is>
          <t>2003-09</t>
        </is>
      </c>
      <c r="B109" s="40" t="n">
        <v>56110.109</v>
      </c>
      <c r="C109" s="40" t="n">
        <v>-2319.911</v>
      </c>
      <c r="D109" s="40" t="n">
        <v>-2319.911</v>
      </c>
      <c r="E109" s="40" t="n">
        <v>0</v>
      </c>
    </row>
    <row r="110">
      <c r="A110" s="39" t="inlineStr">
        <is>
          <t>2003-10</t>
        </is>
      </c>
      <c r="B110" s="40" t="n">
        <v>57710.438</v>
      </c>
      <c r="C110" s="40" t="n">
        <v>1600.329</v>
      </c>
      <c r="D110" s="40" t="n">
        <v>1600.329</v>
      </c>
      <c r="E110" s="40" t="n">
        <v>0</v>
      </c>
    </row>
    <row r="111">
      <c r="A111" s="39" t="inlineStr">
        <is>
          <t>2003-11</t>
        </is>
      </c>
      <c r="B111" s="40" t="n">
        <v>62417.367</v>
      </c>
      <c r="C111" s="40" t="n">
        <v>4706.929</v>
      </c>
      <c r="D111" s="40" t="n">
        <v>4706.929</v>
      </c>
      <c r="E111" s="40" t="n">
        <v>0</v>
      </c>
    </row>
    <row r="112">
      <c r="A112" s="39" t="inlineStr">
        <is>
          <t>2003-12</t>
        </is>
      </c>
      <c r="B112" s="40" t="n">
        <v>73219.136</v>
      </c>
      <c r="C112" s="40" t="n">
        <v>10801.769</v>
      </c>
      <c r="D112" s="40" t="n">
        <v>10801.769</v>
      </c>
      <c r="E112" s="40" t="n">
        <v>0</v>
      </c>
    </row>
    <row r="113">
      <c r="A113" s="39" t="inlineStr">
        <is>
          <t>2004-01</t>
        </is>
      </c>
      <c r="B113" s="40" t="n">
        <v>68899.768</v>
      </c>
      <c r="C113" s="40" t="n">
        <v>-4319.368</v>
      </c>
      <c r="D113" s="40" t="n">
        <v>-4319.368</v>
      </c>
      <c r="E113" s="40" t="n">
        <v>0</v>
      </c>
    </row>
    <row r="114">
      <c r="A114" s="39" t="inlineStr">
        <is>
          <t>2004-02</t>
        </is>
      </c>
      <c r="B114" s="40" t="n">
        <v>68868.993</v>
      </c>
      <c r="C114" s="40" t="n">
        <v>-30.775</v>
      </c>
      <c r="D114" s="40" t="n">
        <v>-30.775</v>
      </c>
      <c r="E114" s="40" t="n">
        <v>0</v>
      </c>
    </row>
    <row r="115">
      <c r="A115" s="39" t="inlineStr">
        <is>
          <t>2004-03</t>
        </is>
      </c>
      <c r="B115" s="40" t="n">
        <v>63122.628</v>
      </c>
      <c r="C115" s="40" t="n">
        <v>-5746.365</v>
      </c>
      <c r="D115" s="40" t="n">
        <v>-5746.365</v>
      </c>
      <c r="E115" s="40" t="n">
        <v>0</v>
      </c>
    </row>
    <row r="116">
      <c r="A116" s="39" t="inlineStr">
        <is>
          <t>2004-04</t>
        </is>
      </c>
      <c r="B116" s="40" t="n">
        <v>65612.98299999999</v>
      </c>
      <c r="C116" s="40" t="n">
        <v>2490.355</v>
      </c>
      <c r="D116" s="40" t="n">
        <v>2490.355</v>
      </c>
      <c r="E116" s="40" t="n">
        <v>0</v>
      </c>
    </row>
    <row r="117">
      <c r="A117" s="39" t="inlineStr">
        <is>
          <t>2004-05</t>
        </is>
      </c>
      <c r="B117" s="40" t="n">
        <v>66822.15300000001</v>
      </c>
      <c r="C117" s="40" t="n">
        <v>1209.17</v>
      </c>
      <c r="D117" s="40" t="n">
        <v>1209.17</v>
      </c>
      <c r="E117" s="40" t="n">
        <v>0</v>
      </c>
    </row>
    <row r="118">
      <c r="A118" s="39" t="inlineStr">
        <is>
          <t>2004-06</t>
        </is>
      </c>
      <c r="B118" s="40" t="n">
        <v>67992.27</v>
      </c>
      <c r="C118" s="40" t="n">
        <v>1170.117</v>
      </c>
      <c r="D118" s="40" t="n">
        <v>1170.117</v>
      </c>
      <c r="E118" s="40" t="n">
        <v>0</v>
      </c>
    </row>
    <row r="119">
      <c r="A119" s="39" t="inlineStr">
        <is>
          <t>2004-07</t>
        </is>
      </c>
      <c r="B119" s="40" t="n">
        <v>73110.428</v>
      </c>
      <c r="C119" s="40" t="n">
        <v>5118.158</v>
      </c>
      <c r="D119" s="40" t="n">
        <v>5118.158</v>
      </c>
      <c r="E119" s="40" t="n">
        <v>0</v>
      </c>
    </row>
    <row r="120">
      <c r="A120" s="39" t="inlineStr">
        <is>
          <t>2004-08</t>
        </is>
      </c>
      <c r="B120" s="40" t="n">
        <v>72201.284</v>
      </c>
      <c r="C120" s="40" t="n">
        <v>-909.144</v>
      </c>
      <c r="D120" s="40" t="n">
        <v>-909.144</v>
      </c>
      <c r="E120" s="40" t="n">
        <v>0</v>
      </c>
    </row>
    <row r="121">
      <c r="A121" s="39" t="inlineStr">
        <is>
          <t>2004-09</t>
        </is>
      </c>
      <c r="B121" s="40" t="n">
        <v>70955.261</v>
      </c>
      <c r="C121" s="40" t="n">
        <v>-1246.023</v>
      </c>
      <c r="D121" s="40" t="n">
        <v>-1246.023</v>
      </c>
      <c r="E121" s="40" t="n">
        <v>0</v>
      </c>
    </row>
    <row r="122">
      <c r="A122" s="39" t="inlineStr">
        <is>
          <t>2004-10</t>
        </is>
      </c>
      <c r="B122" s="40" t="n">
        <v>71672.482</v>
      </c>
      <c r="C122" s="40" t="n">
        <v>717.221</v>
      </c>
      <c r="D122" s="40" t="n">
        <v>717.221</v>
      </c>
      <c r="E122" s="40" t="n">
        <v>0</v>
      </c>
    </row>
    <row r="123">
      <c r="A123" s="39" t="inlineStr">
        <is>
          <t>2004-11</t>
        </is>
      </c>
      <c r="B123" s="40" t="n">
        <v>75097.601</v>
      </c>
      <c r="C123" s="40" t="n">
        <v>3425.119</v>
      </c>
      <c r="D123" s="40" t="n">
        <v>3425.119</v>
      </c>
      <c r="E123" s="40" t="n">
        <v>0</v>
      </c>
    </row>
    <row r="124">
      <c r="A124" s="39" t="inlineStr">
        <is>
          <t>2004-12</t>
        </is>
      </c>
      <c r="B124" s="40" t="n">
        <v>88732.677</v>
      </c>
      <c r="C124" s="40" t="n">
        <v>13635.076</v>
      </c>
      <c r="D124" s="40" t="n">
        <v>13635.076</v>
      </c>
      <c r="E124" s="40" t="n">
        <v>0</v>
      </c>
    </row>
    <row r="125">
      <c r="A125" s="39" t="inlineStr">
        <is>
          <t>2005-01</t>
        </is>
      </c>
      <c r="B125" s="40" t="n">
        <v>83471.33500000001</v>
      </c>
      <c r="C125" s="40" t="n">
        <v>-5261.342</v>
      </c>
      <c r="D125" s="40" t="n">
        <v>-5261.342</v>
      </c>
      <c r="E125" s="40" t="n">
        <v>0</v>
      </c>
    </row>
    <row r="126">
      <c r="A126" s="39" t="inlineStr">
        <is>
          <t>2005-02</t>
        </is>
      </c>
      <c r="B126" s="40" t="n">
        <v>79115.88099999999</v>
      </c>
      <c r="C126" s="40" t="n">
        <v>-4355.454</v>
      </c>
      <c r="D126" s="40" t="n">
        <v>-4355.454</v>
      </c>
      <c r="E126" s="40" t="n">
        <v>0</v>
      </c>
    </row>
    <row r="127">
      <c r="A127" s="39" t="inlineStr">
        <is>
          <t>2005-03</t>
        </is>
      </c>
      <c r="B127" s="40" t="n">
        <v>78276.44100000001</v>
      </c>
      <c r="C127" s="40" t="n">
        <v>-839.4400000000001</v>
      </c>
      <c r="D127" s="40" t="n">
        <v>-839.4400000000001</v>
      </c>
      <c r="E127" s="40" t="n">
        <v>0</v>
      </c>
    </row>
    <row r="128">
      <c r="A128" s="39" t="inlineStr">
        <is>
          <t>2005-04</t>
        </is>
      </c>
      <c r="B128" s="40" t="n">
        <v>77791.974</v>
      </c>
      <c r="C128" s="40" t="n">
        <v>-484.467</v>
      </c>
      <c r="D128" s="40" t="n">
        <v>-484.467</v>
      </c>
      <c r="E128" s="40" t="n">
        <v>0</v>
      </c>
    </row>
    <row r="129">
      <c r="A129" s="39" t="inlineStr">
        <is>
          <t>2005-05</t>
        </is>
      </c>
      <c r="B129" s="40" t="n">
        <v>79731.164</v>
      </c>
      <c r="C129" s="40" t="n">
        <v>1939.19</v>
      </c>
      <c r="D129" s="40" t="n">
        <v>1939.19</v>
      </c>
      <c r="E129" s="40" t="n">
        <v>0</v>
      </c>
    </row>
    <row r="130">
      <c r="A130" s="39" t="inlineStr">
        <is>
          <t>2005-06</t>
        </is>
      </c>
      <c r="B130" s="40" t="n">
        <v>78494.175</v>
      </c>
      <c r="C130" s="40" t="n">
        <v>-1236.989</v>
      </c>
      <c r="D130" s="40" t="n">
        <v>-1236.989</v>
      </c>
      <c r="E130" s="40" t="n">
        <v>0</v>
      </c>
    </row>
    <row r="131">
      <c r="A131" s="39" t="inlineStr">
        <is>
          <t>2005-07</t>
        </is>
      </c>
      <c r="B131" s="40" t="n">
        <v>80283.576</v>
      </c>
      <c r="C131" s="40" t="n">
        <v>1789.401</v>
      </c>
      <c r="D131" s="40" t="n">
        <v>1789.401</v>
      </c>
      <c r="E131" s="40" t="n">
        <v>0</v>
      </c>
    </row>
    <row r="132">
      <c r="A132" s="39" t="inlineStr">
        <is>
          <t>2005-08</t>
        </is>
      </c>
      <c r="B132" s="40" t="n">
        <v>79820.054</v>
      </c>
      <c r="C132" s="40" t="n">
        <v>-463.522</v>
      </c>
      <c r="D132" s="40" t="n">
        <v>-463.522</v>
      </c>
      <c r="E132" s="40" t="n">
        <v>0</v>
      </c>
    </row>
    <row r="133">
      <c r="A133" s="39" t="inlineStr">
        <is>
          <t>2005-09</t>
        </is>
      </c>
      <c r="B133" s="40" t="n">
        <v>80105.571</v>
      </c>
      <c r="C133" s="40" t="n">
        <v>285.517</v>
      </c>
      <c r="D133" s="40" t="n">
        <v>285.517</v>
      </c>
      <c r="E133" s="40" t="n">
        <v>0</v>
      </c>
    </row>
    <row r="134">
      <c r="A134" s="39" t="inlineStr">
        <is>
          <t>2005-10</t>
        </is>
      </c>
      <c r="B134" s="40" t="n">
        <v>79886.962</v>
      </c>
      <c r="C134" s="40" t="n">
        <v>-218.609</v>
      </c>
      <c r="D134" s="40" t="n">
        <v>-218.609</v>
      </c>
      <c r="E134" s="40" t="n">
        <v>0</v>
      </c>
    </row>
    <row r="135">
      <c r="A135" s="39" t="inlineStr">
        <is>
          <t>2005-11</t>
        </is>
      </c>
      <c r="B135" s="40" t="n">
        <v>85515.27</v>
      </c>
      <c r="C135" s="40" t="n">
        <v>5628.308</v>
      </c>
      <c r="D135" s="40" t="n">
        <v>5628.308</v>
      </c>
      <c r="E135" s="40" t="n">
        <v>0</v>
      </c>
    </row>
    <row r="136">
      <c r="A136" s="39" t="inlineStr">
        <is>
          <t>2005-12</t>
        </is>
      </c>
      <c r="B136" s="40" t="n">
        <v>101247.235</v>
      </c>
      <c r="C136" s="40" t="n">
        <v>15731.965</v>
      </c>
      <c r="D136" s="40" t="n">
        <v>15731.965</v>
      </c>
      <c r="E136" s="40" t="n">
        <v>0</v>
      </c>
    </row>
    <row r="137">
      <c r="A137" s="39" t="inlineStr">
        <is>
          <t>2006-01</t>
        </is>
      </c>
      <c r="B137" s="40" t="n">
        <v>92843.06200000001</v>
      </c>
      <c r="C137" s="40" t="n">
        <v>-8404.173000000001</v>
      </c>
      <c r="D137" s="40" t="n">
        <v>-8404.173000000001</v>
      </c>
      <c r="E137" s="40" t="n">
        <v>0</v>
      </c>
    </row>
    <row r="138">
      <c r="A138" s="39" t="inlineStr">
        <is>
          <t>2006-02</t>
        </is>
      </c>
      <c r="B138" s="40" t="n">
        <v>94627.238</v>
      </c>
      <c r="C138" s="40" t="n">
        <v>1784.176</v>
      </c>
      <c r="D138" s="40" t="n">
        <v>1784.176</v>
      </c>
      <c r="E138" s="40" t="n">
        <v>0</v>
      </c>
    </row>
    <row r="139">
      <c r="A139" s="39" t="inlineStr">
        <is>
          <t>2006-03</t>
        </is>
      </c>
      <c r="B139" s="40" t="n">
        <v>88735.299</v>
      </c>
      <c r="C139" s="40" t="n">
        <v>-5891.939</v>
      </c>
      <c r="D139" s="40" t="n">
        <v>-5891.939</v>
      </c>
      <c r="E139" s="40" t="n">
        <v>0</v>
      </c>
    </row>
    <row r="140">
      <c r="A140" s="39" t="inlineStr">
        <is>
          <t>2006-04</t>
        </is>
      </c>
      <c r="B140" s="40" t="n">
        <v>88912.726</v>
      </c>
      <c r="C140" s="40" t="n">
        <v>177.427</v>
      </c>
      <c r="D140" s="40" t="n">
        <v>177.427</v>
      </c>
      <c r="E140" s="40" t="n">
        <v>0</v>
      </c>
    </row>
    <row r="141">
      <c r="A141" s="39" t="inlineStr">
        <is>
          <t>2006-05</t>
        </is>
      </c>
      <c r="B141" s="40" t="n">
        <v>86158.927</v>
      </c>
      <c r="C141" s="40" t="n">
        <v>-2753.799</v>
      </c>
      <c r="D141" s="40" t="n">
        <v>-2753.799</v>
      </c>
      <c r="E141" s="40" t="n">
        <v>0</v>
      </c>
    </row>
    <row r="142">
      <c r="A142" s="39" t="inlineStr">
        <is>
          <t>2006-06</t>
        </is>
      </c>
      <c r="B142" s="40" t="n">
        <v>94634.87699999999</v>
      </c>
      <c r="C142" s="40" t="n">
        <v>8475.950000000001</v>
      </c>
      <c r="D142" s="40" t="n">
        <v>8475.950000000001</v>
      </c>
      <c r="E142" s="40" t="n">
        <v>0</v>
      </c>
    </row>
    <row r="143">
      <c r="A143" s="39" t="inlineStr">
        <is>
          <t>2006-07</t>
        </is>
      </c>
      <c r="B143" s="40" t="n">
        <v>94592.008</v>
      </c>
      <c r="C143" s="40" t="n">
        <v>-42.869</v>
      </c>
      <c r="D143" s="40" t="n">
        <v>-42.869</v>
      </c>
      <c r="E143" s="40" t="n">
        <v>0</v>
      </c>
    </row>
    <row r="144">
      <c r="A144" s="39" t="inlineStr">
        <is>
          <t>2006-08</t>
        </is>
      </c>
      <c r="B144" s="40" t="n">
        <v>99860.90399999999</v>
      </c>
      <c r="C144" s="40" t="n">
        <v>5268.896</v>
      </c>
      <c r="D144" s="40" t="n">
        <v>5268.896</v>
      </c>
      <c r="E144" s="40" t="n">
        <v>0</v>
      </c>
    </row>
    <row r="145">
      <c r="A145" s="39" t="inlineStr">
        <is>
          <t>2006-09</t>
        </is>
      </c>
      <c r="B145" s="40" t="n">
        <v>100371.553</v>
      </c>
      <c r="C145" s="40" t="n">
        <v>510.649</v>
      </c>
      <c r="D145" s="40" t="n">
        <v>510.649</v>
      </c>
      <c r="E145" s="40" t="n">
        <v>0</v>
      </c>
    </row>
    <row r="146">
      <c r="A146" s="39" t="inlineStr">
        <is>
          <t>2006-10</t>
        </is>
      </c>
      <c r="B146" s="40" t="n">
        <v>99861.933</v>
      </c>
      <c r="C146" s="40" t="n">
        <v>-509.62</v>
      </c>
      <c r="D146" s="40" t="n">
        <v>-509.62</v>
      </c>
      <c r="E146" s="40" t="n">
        <v>0</v>
      </c>
    </row>
    <row r="147">
      <c r="A147" s="39" t="inlineStr">
        <is>
          <t>2006-11</t>
        </is>
      </c>
      <c r="B147" s="40" t="n">
        <v>105335.008</v>
      </c>
      <c r="C147" s="40" t="n">
        <v>5473.075</v>
      </c>
      <c r="D147" s="40" t="n">
        <v>5473.075</v>
      </c>
      <c r="E147" s="40" t="n">
        <v>0</v>
      </c>
    </row>
    <row r="148">
      <c r="A148" s="39" t="inlineStr">
        <is>
          <t>2006-12</t>
        </is>
      </c>
      <c r="B148" s="40" t="n">
        <v>121102.001</v>
      </c>
      <c r="C148" s="40" t="n">
        <v>15766.993</v>
      </c>
      <c r="D148" s="40" t="n">
        <v>15766.993</v>
      </c>
      <c r="E148" s="40" t="n">
        <v>0</v>
      </c>
    </row>
    <row r="149">
      <c r="A149" s="39" t="inlineStr">
        <is>
          <t>2007-01</t>
        </is>
      </c>
      <c r="B149" s="40" t="n">
        <v>109695.597</v>
      </c>
      <c r="C149" s="40" t="n">
        <v>-11406.404</v>
      </c>
      <c r="D149" s="40" t="n">
        <v>-11406.404</v>
      </c>
      <c r="E149" s="40" t="n">
        <v>0</v>
      </c>
    </row>
    <row r="150">
      <c r="A150" s="39" t="inlineStr">
        <is>
          <t>2007-02</t>
        </is>
      </c>
      <c r="B150" s="40" t="n">
        <v>105136.74</v>
      </c>
      <c r="C150" s="40" t="n">
        <v>-4558.857</v>
      </c>
      <c r="D150" s="40" t="n">
        <v>-4558.857</v>
      </c>
      <c r="E150" s="40" t="n">
        <v>0</v>
      </c>
    </row>
    <row r="151">
      <c r="A151" s="39" t="inlineStr">
        <is>
          <t>2007-03</t>
        </is>
      </c>
      <c r="B151" s="40" t="n">
        <v>107235.704</v>
      </c>
      <c r="C151" s="40" t="n">
        <v>2098.964</v>
      </c>
      <c r="D151" s="40" t="n">
        <v>2098.964</v>
      </c>
      <c r="E151" s="40" t="n">
        <v>0</v>
      </c>
    </row>
    <row r="152">
      <c r="A152" s="39" t="inlineStr">
        <is>
          <t>2007-04</t>
        </is>
      </c>
      <c r="B152" s="40" t="n">
        <v>114406.238</v>
      </c>
      <c r="C152" s="40" t="n">
        <v>7170.534</v>
      </c>
      <c r="D152" s="40" t="n">
        <v>7170.534</v>
      </c>
      <c r="E152" s="40" t="n">
        <v>0</v>
      </c>
    </row>
    <row r="153">
      <c r="A153" s="39" t="inlineStr">
        <is>
          <t>2007-05</t>
        </is>
      </c>
      <c r="B153" s="40" t="n">
        <v>108250.652</v>
      </c>
      <c r="C153" s="40" t="n">
        <v>-6155.586</v>
      </c>
      <c r="D153" s="40" t="n">
        <v>-6155.586</v>
      </c>
      <c r="E153" s="40" t="n">
        <v>0</v>
      </c>
    </row>
    <row r="154">
      <c r="A154" s="39" t="inlineStr">
        <is>
          <t>2007-06</t>
        </is>
      </c>
      <c r="B154" s="40" t="n">
        <v>115604.131</v>
      </c>
      <c r="C154" s="40" t="n">
        <v>7353.479</v>
      </c>
      <c r="D154" s="40" t="n">
        <v>7353.479</v>
      </c>
      <c r="E154" s="40" t="n">
        <v>0</v>
      </c>
    </row>
    <row r="155">
      <c r="A155" s="39" t="inlineStr">
        <is>
          <t>2007-07</t>
        </is>
      </c>
      <c r="B155" s="40" t="n">
        <v>115812.081</v>
      </c>
      <c r="C155" s="40" t="n">
        <v>207.95</v>
      </c>
      <c r="D155" s="40" t="n">
        <v>207.95</v>
      </c>
      <c r="E155" s="40" t="n">
        <v>0</v>
      </c>
    </row>
    <row r="156">
      <c r="A156" s="39" t="inlineStr">
        <is>
          <t>2007-08</t>
        </is>
      </c>
      <c r="B156" s="40" t="n">
        <v>114488.378</v>
      </c>
      <c r="C156" s="40" t="n">
        <v>-1323.703</v>
      </c>
      <c r="D156" s="40" t="n">
        <v>-1323.703</v>
      </c>
      <c r="E156" s="40" t="n">
        <v>0</v>
      </c>
    </row>
    <row r="157">
      <c r="A157" s="39" t="inlineStr">
        <is>
          <t>2007-09</t>
        </is>
      </c>
      <c r="B157" s="40" t="n">
        <v>120340.059</v>
      </c>
      <c r="C157" s="40" t="n">
        <v>5851.681</v>
      </c>
      <c r="D157" s="40" t="n">
        <v>5851.681</v>
      </c>
      <c r="E157" s="40" t="n">
        <v>0</v>
      </c>
    </row>
    <row r="158">
      <c r="A158" s="39" t="inlineStr">
        <is>
          <t>2007-10</t>
        </is>
      </c>
      <c r="B158" s="40" t="n">
        <v>122966.586</v>
      </c>
      <c r="C158" s="40" t="n">
        <v>2626.527</v>
      </c>
      <c r="D158" s="40" t="n">
        <v>2626.527</v>
      </c>
      <c r="E158" s="40" t="n">
        <v>0</v>
      </c>
    </row>
    <row r="159">
      <c r="A159" s="39" t="inlineStr">
        <is>
          <t>2007-11</t>
        </is>
      </c>
      <c r="B159" s="40" t="n">
        <v>130847.477</v>
      </c>
      <c r="C159" s="40" t="n">
        <v>7880.891</v>
      </c>
      <c r="D159" s="40" t="n">
        <v>7880.891</v>
      </c>
      <c r="E159" s="40" t="n">
        <v>0</v>
      </c>
    </row>
    <row r="160">
      <c r="A160" s="39" t="inlineStr">
        <is>
          <t>2007-12</t>
        </is>
      </c>
      <c r="B160" s="40" t="n">
        <v>146616.867</v>
      </c>
      <c r="C160" s="40" t="n">
        <v>15769.39</v>
      </c>
      <c r="D160" s="40" t="n">
        <v>15769.39</v>
      </c>
      <c r="E160" s="40" t="n">
        <v>0</v>
      </c>
    </row>
    <row r="161">
      <c r="A161" s="39" t="inlineStr">
        <is>
          <t>2008-01</t>
        </is>
      </c>
      <c r="B161" s="40" t="n">
        <v>130588.119</v>
      </c>
      <c r="C161" s="40" t="n">
        <v>-16028.748</v>
      </c>
      <c r="D161" s="40" t="n">
        <v>-16028.748</v>
      </c>
      <c r="E161" s="40" t="n">
        <v>0</v>
      </c>
    </row>
    <row r="162">
      <c r="A162" s="39" t="inlineStr">
        <is>
          <t>2008-02</t>
        </is>
      </c>
      <c r="B162" s="40" t="n">
        <v>126329.185</v>
      </c>
      <c r="C162" s="40" t="n">
        <v>-4258.934</v>
      </c>
      <c r="D162" s="40" t="n">
        <v>-4258.934</v>
      </c>
      <c r="E162" s="40" t="n">
        <v>0</v>
      </c>
    </row>
    <row r="163">
      <c r="A163" s="39" t="inlineStr">
        <is>
          <t>2008-03</t>
        </is>
      </c>
      <c r="B163" s="40" t="n">
        <v>128876.813</v>
      </c>
      <c r="C163" s="40" t="n">
        <v>2547.628</v>
      </c>
      <c r="D163" s="40" t="n">
        <v>2547.628</v>
      </c>
      <c r="E163" s="40" t="n">
        <v>0</v>
      </c>
    </row>
    <row r="164">
      <c r="A164" s="39" t="inlineStr">
        <is>
          <t>2008-04</t>
        </is>
      </c>
      <c r="B164" s="40" t="n">
        <v>124683.915</v>
      </c>
      <c r="C164" s="40" t="n">
        <v>-4192.898</v>
      </c>
      <c r="D164" s="40" t="n">
        <v>-4192.898</v>
      </c>
      <c r="E164" s="40" t="n">
        <v>0</v>
      </c>
    </row>
    <row r="165">
      <c r="A165" s="39" t="inlineStr">
        <is>
          <t>2008-05</t>
        </is>
      </c>
      <c r="B165" s="40" t="n">
        <v>133158.742</v>
      </c>
      <c r="C165" s="40" t="n">
        <v>8474.826999999999</v>
      </c>
      <c r="D165" s="40" t="n">
        <v>8474.826999999999</v>
      </c>
      <c r="E165" s="40" t="n">
        <v>0</v>
      </c>
    </row>
    <row r="166">
      <c r="A166" s="39" t="inlineStr">
        <is>
          <t>2008-06</t>
        </is>
      </c>
      <c r="B166" s="40" t="n">
        <v>132793.112</v>
      </c>
      <c r="C166" s="40" t="n">
        <v>-365.63</v>
      </c>
      <c r="D166" s="40" t="n">
        <v>-365.63</v>
      </c>
      <c r="E166" s="40" t="n">
        <v>0</v>
      </c>
    </row>
    <row r="167">
      <c r="A167" s="39" t="inlineStr">
        <is>
          <t>2008-07</t>
        </is>
      </c>
      <c r="B167" s="40" t="n">
        <v>129092.191</v>
      </c>
      <c r="C167" s="40" t="n">
        <v>-3700.921</v>
      </c>
      <c r="D167" s="40" t="n">
        <v>-3700.921</v>
      </c>
      <c r="E167" s="40" t="n">
        <v>0</v>
      </c>
    </row>
    <row r="168">
      <c r="A168" s="39" t="inlineStr">
        <is>
          <t>2008-08</t>
        </is>
      </c>
      <c r="B168" s="40" t="n">
        <v>132071.158</v>
      </c>
      <c r="C168" s="40" t="n">
        <v>2978.967</v>
      </c>
      <c r="D168" s="40" t="n">
        <v>2978.967</v>
      </c>
      <c r="E168" s="40" t="n">
        <v>0</v>
      </c>
    </row>
    <row r="169">
      <c r="A169" s="39" t="inlineStr">
        <is>
          <t>2008-09</t>
        </is>
      </c>
      <c r="B169" s="40" t="n">
        <v>136936.175</v>
      </c>
      <c r="C169" s="40" t="n">
        <v>4865.017</v>
      </c>
      <c r="D169" s="40" t="n">
        <v>4865.017</v>
      </c>
      <c r="E169" s="40" t="n">
        <v>0</v>
      </c>
    </row>
    <row r="170">
      <c r="A170" s="39" t="inlineStr">
        <is>
          <t>2008-10</t>
        </is>
      </c>
      <c r="B170" s="40" t="n">
        <v>132774.206</v>
      </c>
      <c r="C170" s="40" t="n">
        <v>-4161.969</v>
      </c>
      <c r="D170" s="40" t="n">
        <v>-4161.969</v>
      </c>
      <c r="E170" s="40" t="n">
        <v>0</v>
      </c>
    </row>
    <row r="171">
      <c r="A171" s="39" t="inlineStr">
        <is>
          <t>2008-11</t>
        </is>
      </c>
      <c r="B171" s="40" t="n">
        <v>132318.76</v>
      </c>
      <c r="C171" s="40" t="n">
        <v>-455.446</v>
      </c>
      <c r="D171" s="40" t="n">
        <v>-455.446</v>
      </c>
      <c r="E171" s="40" t="n">
        <v>0</v>
      </c>
    </row>
    <row r="172">
      <c r="A172" s="39" t="inlineStr">
        <is>
          <t>2008-12</t>
        </is>
      </c>
      <c r="B172" s="40" t="n">
        <v>147549.705</v>
      </c>
      <c r="C172" s="40" t="n">
        <v>15230.945</v>
      </c>
      <c r="D172" s="40" t="n">
        <v>15230.945</v>
      </c>
      <c r="E172" s="40" t="n">
        <v>0</v>
      </c>
    </row>
    <row r="173">
      <c r="A173" s="39" t="inlineStr">
        <is>
          <t>2009-01</t>
        </is>
      </c>
      <c r="B173" s="40" t="n">
        <v>137537.875</v>
      </c>
      <c r="C173" s="40" t="n">
        <v>-10011.83</v>
      </c>
      <c r="D173" s="40" t="n">
        <v>-10011.83</v>
      </c>
      <c r="E173" s="40" t="n">
        <v>0</v>
      </c>
    </row>
    <row r="174">
      <c r="A174" s="39" t="inlineStr">
        <is>
          <t>2009-02</t>
        </is>
      </c>
      <c r="B174" s="40" t="n">
        <v>136267.906</v>
      </c>
      <c r="C174" s="40" t="n">
        <v>-1269.969</v>
      </c>
      <c r="D174" s="40" t="n">
        <v>-1269.969</v>
      </c>
      <c r="E174" s="40" t="n">
        <v>0</v>
      </c>
    </row>
    <row r="175">
      <c r="A175" s="39" t="inlineStr">
        <is>
          <t>2009-03</t>
        </is>
      </c>
      <c r="B175" s="40" t="n">
        <v>135056.365</v>
      </c>
      <c r="C175" s="40" t="n">
        <v>-1211.541</v>
      </c>
      <c r="D175" s="40" t="n">
        <v>-1211.541</v>
      </c>
      <c r="E175" s="40" t="n">
        <v>0</v>
      </c>
    </row>
    <row r="176">
      <c r="A176" s="39" t="inlineStr">
        <is>
          <t>2009-04</t>
        </is>
      </c>
      <c r="B176" s="40" t="n">
        <v>144762.552</v>
      </c>
      <c r="C176" s="40" t="n">
        <v>9706.187</v>
      </c>
      <c r="D176" s="40" t="n">
        <v>9706.187</v>
      </c>
      <c r="E176" s="40" t="n">
        <v>0</v>
      </c>
    </row>
    <row r="177">
      <c r="A177" s="39" t="inlineStr">
        <is>
          <t>2009-05</t>
        </is>
      </c>
      <c r="B177" s="40" t="n">
        <v>133322.92</v>
      </c>
      <c r="C177" s="40" t="n">
        <v>-11439.632</v>
      </c>
      <c r="D177" s="40" t="n">
        <v>-11439.632</v>
      </c>
      <c r="E177" s="40" t="n">
        <v>0</v>
      </c>
    </row>
    <row r="178">
      <c r="A178" s="39" t="inlineStr">
        <is>
          <t>2009-06</t>
        </is>
      </c>
      <c r="B178" s="40" t="n">
        <v>139185.835</v>
      </c>
      <c r="C178" s="40" t="n">
        <v>5862.915</v>
      </c>
      <c r="D178" s="40" t="n">
        <v>5862.915</v>
      </c>
      <c r="E178" s="40" t="n">
        <v>0</v>
      </c>
    </row>
    <row r="179">
      <c r="A179" s="39" t="inlineStr">
        <is>
          <t>2009-07</t>
        </is>
      </c>
      <c r="B179" s="40" t="n">
        <v>135545.843</v>
      </c>
      <c r="C179" s="40" t="n">
        <v>-3639.992</v>
      </c>
      <c r="D179" s="40" t="n">
        <v>-3639.992</v>
      </c>
      <c r="E179" s="40" t="n">
        <v>0</v>
      </c>
    </row>
    <row r="180">
      <c r="A180" s="39" t="inlineStr">
        <is>
          <t>2009-08</t>
        </is>
      </c>
      <c r="B180" s="40" t="n">
        <v>137018.961</v>
      </c>
      <c r="C180" s="40" t="n">
        <v>1473.118</v>
      </c>
      <c r="D180" s="40" t="n">
        <v>1473.118</v>
      </c>
      <c r="E180" s="40" t="n">
        <v>0</v>
      </c>
    </row>
    <row r="181">
      <c r="A181" s="39" t="inlineStr">
        <is>
          <t>2009-09</t>
        </is>
      </c>
      <c r="B181" s="40" t="n">
        <v>145698.459</v>
      </c>
      <c r="C181" s="40" t="n">
        <v>8679.498</v>
      </c>
      <c r="D181" s="40" t="n">
        <v>8679.498</v>
      </c>
      <c r="E181" s="40" t="n">
        <v>0</v>
      </c>
    </row>
    <row r="182">
      <c r="A182" s="39" t="inlineStr">
        <is>
          <t>2009-10</t>
        </is>
      </c>
      <c r="B182" s="40" t="n">
        <v>147453.941</v>
      </c>
      <c r="C182" s="40" t="n">
        <v>1755.482</v>
      </c>
      <c r="D182" s="40" t="n">
        <v>1755.482</v>
      </c>
      <c r="E182" s="40" t="n">
        <v>0</v>
      </c>
    </row>
    <row r="183">
      <c r="A183" s="39" t="inlineStr">
        <is>
          <t>2009-11</t>
        </is>
      </c>
      <c r="B183" s="40" t="n">
        <v>156868.063</v>
      </c>
      <c r="C183" s="40" t="n">
        <v>9414.121999999999</v>
      </c>
      <c r="D183" s="40" t="n">
        <v>9414.121999999999</v>
      </c>
      <c r="E183" s="40" t="n">
        <v>0</v>
      </c>
    </row>
    <row r="184">
      <c r="A184" s="39" t="inlineStr">
        <is>
          <t>2009-12</t>
        </is>
      </c>
      <c r="B184" s="40" t="n">
        <v>166072.835</v>
      </c>
      <c r="C184" s="40" t="n">
        <v>9204.772000000001</v>
      </c>
      <c r="D184" s="40" t="n">
        <v>9204.772000000001</v>
      </c>
      <c r="E184" s="40" t="n">
        <v>0</v>
      </c>
    </row>
    <row r="185">
      <c r="A185" s="39" t="inlineStr">
        <is>
          <t>2010-01</t>
        </is>
      </c>
      <c r="B185" s="40" t="n">
        <v>155650.325</v>
      </c>
      <c r="C185" s="40" t="n">
        <v>-10422.51</v>
      </c>
      <c r="D185" s="40" t="n">
        <v>-10422.51</v>
      </c>
      <c r="E185" s="40" t="n">
        <v>0</v>
      </c>
    </row>
    <row r="186">
      <c r="A186" s="39" t="inlineStr">
        <is>
          <t>2010-02</t>
        </is>
      </c>
      <c r="B186" s="40" t="n">
        <v>154334.418</v>
      </c>
      <c r="C186" s="40" t="n">
        <v>-1315.907</v>
      </c>
      <c r="D186" s="40" t="n">
        <v>-1315.907</v>
      </c>
      <c r="E186" s="40" t="n">
        <v>0</v>
      </c>
    </row>
    <row r="187">
      <c r="A187" s="39" t="inlineStr">
        <is>
          <t>2010-03</t>
        </is>
      </c>
      <c r="B187" s="40" t="n">
        <v>156710.266</v>
      </c>
      <c r="C187" s="40" t="n">
        <v>2375.848</v>
      </c>
      <c r="D187" s="40" t="n">
        <v>2375.848</v>
      </c>
      <c r="E187" s="40" t="n">
        <v>0</v>
      </c>
    </row>
    <row r="188">
      <c r="A188" s="39" t="inlineStr">
        <is>
          <t>2010-04</t>
        </is>
      </c>
      <c r="B188" s="40" t="n">
        <v>154627.326</v>
      </c>
      <c r="C188" s="40" t="n">
        <v>-2082.94</v>
      </c>
      <c r="D188" s="40" t="n">
        <v>-2082.94</v>
      </c>
      <c r="E188" s="40" t="n">
        <v>0</v>
      </c>
    </row>
    <row r="189">
      <c r="A189" s="39" t="inlineStr">
        <is>
          <t>2010-05</t>
        </is>
      </c>
      <c r="B189" s="40" t="n">
        <v>158687.309</v>
      </c>
      <c r="C189" s="40" t="n">
        <v>4059.983</v>
      </c>
      <c r="D189" s="40" t="n">
        <v>4059.983</v>
      </c>
      <c r="E189" s="40" t="n">
        <v>0</v>
      </c>
    </row>
    <row r="190">
      <c r="A190" s="39" t="inlineStr">
        <is>
          <t>2010-06</t>
        </is>
      </c>
      <c r="B190" s="40" t="n">
        <v>159627.969</v>
      </c>
      <c r="C190" s="40" t="n">
        <v>940.66</v>
      </c>
      <c r="D190" s="40" t="n">
        <v>940.66</v>
      </c>
      <c r="E190" s="40" t="n">
        <v>0</v>
      </c>
    </row>
    <row r="191">
      <c r="A191" s="39" t="inlineStr">
        <is>
          <t>2010-07</t>
        </is>
      </c>
      <c r="B191" s="40" t="n">
        <v>162528.341</v>
      </c>
      <c r="C191" s="40" t="n">
        <v>2900.372</v>
      </c>
      <c r="D191" s="40" t="n">
        <v>2900.372</v>
      </c>
      <c r="E191" s="40" t="n">
        <v>0</v>
      </c>
    </row>
    <row r="192">
      <c r="A192" s="39" t="inlineStr">
        <is>
          <t>2010-08</t>
        </is>
      </c>
      <c r="B192" s="40" t="n">
        <v>173242.65</v>
      </c>
      <c r="C192" s="40" t="n">
        <v>10714.309</v>
      </c>
      <c r="D192" s="40" t="n">
        <v>10714.309</v>
      </c>
      <c r="E192" s="40" t="n">
        <v>0</v>
      </c>
    </row>
    <row r="193">
      <c r="A193" s="39" t="inlineStr">
        <is>
          <t>2010-09</t>
        </is>
      </c>
      <c r="B193" s="40" t="n">
        <v>176001.728</v>
      </c>
      <c r="C193" s="40" t="n">
        <v>2759.078</v>
      </c>
      <c r="D193" s="40" t="n">
        <v>2759.078</v>
      </c>
      <c r="E193" s="40" t="n">
        <v>0</v>
      </c>
    </row>
    <row r="194">
      <c r="A194" s="39" t="inlineStr">
        <is>
          <t>2010-10</t>
        </is>
      </c>
      <c r="B194" s="40" t="n">
        <v>177434.73</v>
      </c>
      <c r="C194" s="40" t="n">
        <v>1433.002</v>
      </c>
      <c r="D194" s="40" t="n">
        <v>1433.002</v>
      </c>
      <c r="E194" s="40" t="n">
        <v>0</v>
      </c>
    </row>
    <row r="195">
      <c r="A195" s="39" t="inlineStr">
        <is>
          <t>2010-11</t>
        </is>
      </c>
      <c r="B195" s="40" t="n">
        <v>178485.518</v>
      </c>
      <c r="C195" s="40" t="n">
        <v>1050.788</v>
      </c>
      <c r="D195" s="40" t="n">
        <v>1050.788</v>
      </c>
      <c r="E195" s="40" t="n">
        <v>0</v>
      </c>
    </row>
    <row r="196">
      <c r="A196" s="39" t="inlineStr">
        <is>
          <t>2010-12</t>
        </is>
      </c>
      <c r="B196" s="40" t="n">
        <v>206853.322</v>
      </c>
      <c r="C196" s="40" t="n">
        <v>28367.804</v>
      </c>
      <c r="D196" s="40" t="n">
        <v>28367.804</v>
      </c>
      <c r="E196" s="40" t="n">
        <v>0</v>
      </c>
    </row>
    <row r="197">
      <c r="A197" s="39" t="inlineStr">
        <is>
          <t>2011-01</t>
        </is>
      </c>
      <c r="B197" s="40" t="n">
        <v>193547.227</v>
      </c>
      <c r="C197" s="40" t="n">
        <v>-13306.095</v>
      </c>
      <c r="D197" s="40" t="n">
        <v>-13306.095</v>
      </c>
      <c r="E197" s="40" t="n">
        <v>0</v>
      </c>
    </row>
    <row r="198">
      <c r="A198" s="39" t="inlineStr">
        <is>
          <t>2011-02</t>
        </is>
      </c>
      <c r="B198" s="40" t="n">
        <v>185606.93</v>
      </c>
      <c r="C198" s="40" t="n">
        <v>-7940.297</v>
      </c>
      <c r="D198" s="40" t="n">
        <v>-7940.297</v>
      </c>
      <c r="E198" s="40" t="n">
        <v>0</v>
      </c>
    </row>
    <row r="199">
      <c r="A199" s="39" t="inlineStr">
        <is>
          <t>2011-03</t>
        </is>
      </c>
      <c r="B199" s="40" t="n">
        <v>179918.782</v>
      </c>
      <c r="C199" s="40" t="n">
        <v>-5688.148</v>
      </c>
      <c r="D199" s="40" t="n">
        <v>-5688.148</v>
      </c>
      <c r="E199" s="40" t="n">
        <v>0</v>
      </c>
    </row>
    <row r="200">
      <c r="A200" s="39" t="inlineStr">
        <is>
          <t>2011-04</t>
        </is>
      </c>
      <c r="B200" s="40" t="n">
        <v>172725.439</v>
      </c>
      <c r="C200" s="40" t="n">
        <v>-7193.343</v>
      </c>
      <c r="D200" s="40" t="n">
        <v>-7193.343</v>
      </c>
      <c r="E200" s="40" t="n">
        <v>0</v>
      </c>
    </row>
    <row r="201">
      <c r="A201" s="39" t="inlineStr">
        <is>
          <t>2011-05</t>
        </is>
      </c>
      <c r="B201" s="40" t="n">
        <v>178297.658</v>
      </c>
      <c r="C201" s="40" t="n">
        <v>5572.219</v>
      </c>
      <c r="D201" s="40" t="n">
        <v>5572.219</v>
      </c>
      <c r="E201" s="40" t="n">
        <v>0</v>
      </c>
    </row>
    <row r="202">
      <c r="A202" s="39" t="inlineStr">
        <is>
          <t>2011-06</t>
        </is>
      </c>
      <c r="B202" s="40" t="n">
        <v>190510.862</v>
      </c>
      <c r="C202" s="40" t="n">
        <v>12213.204</v>
      </c>
      <c r="D202" s="40" t="n">
        <v>12213.204</v>
      </c>
      <c r="E202" s="40" t="n">
        <v>0</v>
      </c>
    </row>
    <row r="203">
      <c r="A203" s="39" t="inlineStr">
        <is>
          <t>2011-07</t>
        </is>
      </c>
      <c r="B203" s="40" t="n">
        <v>182099.198</v>
      </c>
      <c r="C203" s="40" t="n">
        <v>-8411.664000000001</v>
      </c>
      <c r="D203" s="40" t="n">
        <v>-8411.664000000001</v>
      </c>
      <c r="E203" s="40" t="n">
        <v>0</v>
      </c>
    </row>
    <row r="204">
      <c r="A204" s="39" t="inlineStr">
        <is>
          <t>2011-08</t>
        </is>
      </c>
      <c r="B204" s="40" t="n">
        <v>179285.432</v>
      </c>
      <c r="C204" s="40" t="n">
        <v>-2813.766</v>
      </c>
      <c r="D204" s="40" t="n">
        <v>-2813.766</v>
      </c>
      <c r="E204" s="40" t="n">
        <v>0</v>
      </c>
    </row>
    <row r="205">
      <c r="A205" s="39" t="inlineStr">
        <is>
          <t>2011-09</t>
        </is>
      </c>
      <c r="B205" s="40" t="n">
        <v>188504.749</v>
      </c>
      <c r="C205" s="40" t="n">
        <v>9219.316999999999</v>
      </c>
      <c r="D205" s="40" t="n">
        <v>9219.316999999999</v>
      </c>
      <c r="E205" s="40" t="n">
        <v>0</v>
      </c>
    </row>
    <row r="206">
      <c r="A206" s="39" t="inlineStr">
        <is>
          <t>2011-10</t>
        </is>
      </c>
      <c r="B206" s="40" t="n">
        <v>188069.133</v>
      </c>
      <c r="C206" s="40" t="n">
        <v>-435.616</v>
      </c>
      <c r="D206" s="40" t="n">
        <v>-435.616</v>
      </c>
      <c r="E206" s="40" t="n">
        <v>0</v>
      </c>
    </row>
    <row r="207">
      <c r="A207" s="39" t="inlineStr">
        <is>
          <t>2011-11</t>
        </is>
      </c>
      <c r="B207" s="40" t="n">
        <v>182670.915</v>
      </c>
      <c r="C207" s="40" t="n">
        <v>-5398.218</v>
      </c>
      <c r="D207" s="40" t="n">
        <v>-5398.218</v>
      </c>
      <c r="E207" s="40" t="n">
        <v>0</v>
      </c>
    </row>
    <row r="208">
      <c r="A208" s="39" t="inlineStr">
        <is>
          <t>2011-12</t>
        </is>
      </c>
      <c r="B208" s="40" t="n">
        <v>214235.311</v>
      </c>
      <c r="C208" s="40" t="n">
        <v>31564.396</v>
      </c>
      <c r="D208" s="40" t="n">
        <v>31564.396</v>
      </c>
      <c r="E208" s="40" t="n">
        <v>0</v>
      </c>
    </row>
    <row r="209">
      <c r="A209" s="39" t="inlineStr">
        <is>
          <t>2012-01</t>
        </is>
      </c>
      <c r="B209" s="40" t="n">
        <v>212136.241</v>
      </c>
      <c r="C209" s="40" t="n">
        <v>-2099.07</v>
      </c>
      <c r="D209" s="40" t="n">
        <v>-2099.07</v>
      </c>
      <c r="E209" s="40" t="n">
        <v>0</v>
      </c>
    </row>
    <row r="210">
      <c r="A210" s="39" t="inlineStr">
        <is>
          <t>2012-02</t>
        </is>
      </c>
      <c r="B210" s="40" t="n">
        <v>191488.769</v>
      </c>
      <c r="C210" s="40" t="n">
        <v>-20647.472</v>
      </c>
      <c r="D210" s="40" t="n">
        <v>-20647.472</v>
      </c>
      <c r="E210" s="40" t="n">
        <v>0</v>
      </c>
    </row>
    <row r="211">
      <c r="A211" s="39" t="inlineStr">
        <is>
          <t>2012-03</t>
        </is>
      </c>
      <c r="B211" s="40" t="n">
        <v>201956.126</v>
      </c>
      <c r="C211" s="40" t="n">
        <v>10467.357</v>
      </c>
      <c r="D211" s="40" t="n">
        <v>10467.357</v>
      </c>
      <c r="E211" s="40" t="n">
        <v>0</v>
      </c>
    </row>
    <row r="212">
      <c r="A212" s="39" t="inlineStr">
        <is>
          <t>2012-04</t>
        </is>
      </c>
      <c r="B212" s="40" t="n">
        <v>193183.934</v>
      </c>
      <c r="C212" s="40" t="n">
        <v>-8772.191999999999</v>
      </c>
      <c r="D212" s="40" t="n">
        <v>-8772.191999999999</v>
      </c>
      <c r="E212" s="40" t="n">
        <v>0</v>
      </c>
    </row>
    <row r="213">
      <c r="A213" s="39" t="inlineStr">
        <is>
          <t>2012-05</t>
        </is>
      </c>
      <c r="B213" s="40" t="n">
        <v>191663.053</v>
      </c>
      <c r="C213" s="40" t="n">
        <v>-1520.881</v>
      </c>
      <c r="D213" s="40" t="n">
        <v>-1520.881</v>
      </c>
      <c r="E213" s="40" t="n">
        <v>0</v>
      </c>
    </row>
    <row r="214">
      <c r="A214" s="39" t="inlineStr">
        <is>
          <t>2012-06</t>
        </is>
      </c>
      <c r="B214" s="40" t="n">
        <v>198858.463</v>
      </c>
      <c r="C214" s="40" t="n">
        <v>7195.41</v>
      </c>
      <c r="D214" s="40" t="n">
        <v>7195.41</v>
      </c>
      <c r="E214" s="40" t="n">
        <v>0</v>
      </c>
    </row>
    <row r="215">
      <c r="A215" s="39" t="inlineStr">
        <is>
          <t>2012-07</t>
        </is>
      </c>
      <c r="B215" s="40" t="n">
        <v>203627.55</v>
      </c>
      <c r="C215" s="40" t="n">
        <v>4769.087</v>
      </c>
      <c r="D215" s="40" t="n">
        <v>4769.087</v>
      </c>
      <c r="E215" s="40" t="n">
        <v>0</v>
      </c>
    </row>
    <row r="216">
      <c r="A216" s="39" t="inlineStr">
        <is>
          <t>2012-08</t>
        </is>
      </c>
      <c r="B216" s="40" t="n">
        <v>203575.297</v>
      </c>
      <c r="C216" s="40" t="n">
        <v>-52.253</v>
      </c>
      <c r="D216" s="40" t="n">
        <v>-52.253</v>
      </c>
      <c r="E216" s="40" t="n">
        <v>0</v>
      </c>
    </row>
    <row r="217">
      <c r="A217" s="39" t="inlineStr">
        <is>
          <t>2012-09</t>
        </is>
      </c>
      <c r="B217" s="40" t="n">
        <v>202200.005</v>
      </c>
      <c r="C217" s="40" t="n">
        <v>-1375.292</v>
      </c>
      <c r="D217" s="40" t="n">
        <v>-1375.292</v>
      </c>
      <c r="E217" s="40" t="n">
        <v>0</v>
      </c>
    </row>
    <row r="218">
      <c r="A218" s="39" t="inlineStr">
        <is>
          <t>2012-10</t>
        </is>
      </c>
      <c r="B218" s="40" t="n">
        <v>204756.96</v>
      </c>
      <c r="C218" s="40" t="n">
        <v>2556.955</v>
      </c>
      <c r="D218" s="40" t="n">
        <v>2556.955</v>
      </c>
      <c r="E218" s="40" t="n">
        <v>0</v>
      </c>
    </row>
    <row r="219">
      <c r="A219" s="39" t="inlineStr">
        <is>
          <t>2012-11</t>
        </is>
      </c>
      <c r="B219" s="40" t="n">
        <v>209024.611</v>
      </c>
      <c r="C219" s="40" t="n">
        <v>4267.651</v>
      </c>
      <c r="D219" s="40" t="n">
        <v>4267.651</v>
      </c>
      <c r="E219" s="40" t="n">
        <v>0</v>
      </c>
    </row>
    <row r="220">
      <c r="A220" s="39" t="inlineStr">
        <is>
          <t>2012-12</t>
        </is>
      </c>
      <c r="B220" s="40" t="n">
        <v>233371.452</v>
      </c>
      <c r="C220" s="40" t="n">
        <v>24346.841</v>
      </c>
      <c r="D220" s="40" t="n">
        <v>24346.841</v>
      </c>
      <c r="E220" s="40" t="n">
        <v>0</v>
      </c>
    </row>
    <row r="221">
      <c r="A221" s="39" t="inlineStr">
        <is>
          <t>2013-01</t>
        </is>
      </c>
      <c r="B221" s="40" t="n">
        <v>216463.907</v>
      </c>
      <c r="C221" s="40" t="n">
        <v>-16907.545</v>
      </c>
      <c r="D221" s="40" t="n">
        <v>-16907.545</v>
      </c>
      <c r="E221" s="40" t="n">
        <v>0</v>
      </c>
    </row>
    <row r="222">
      <c r="A222" s="39" t="inlineStr">
        <is>
          <t>2013-02</t>
        </is>
      </c>
      <c r="B222" s="40" t="n">
        <v>205022.593</v>
      </c>
      <c r="C222" s="40" t="n">
        <v>-11441.314</v>
      </c>
      <c r="D222" s="40" t="n">
        <v>-11441.314</v>
      </c>
      <c r="E222" s="40" t="n">
        <v>0</v>
      </c>
    </row>
    <row r="223">
      <c r="A223" s="39" t="inlineStr">
        <is>
          <t>2013-03</t>
        </is>
      </c>
      <c r="B223" s="40" t="n">
        <v>207717.486</v>
      </c>
      <c r="C223" s="40" t="n">
        <v>2694.893</v>
      </c>
      <c r="D223" s="40" t="n">
        <v>2694.893</v>
      </c>
      <c r="E223" s="40" t="n">
        <v>0</v>
      </c>
    </row>
    <row r="224">
      <c r="A224" s="39" t="inlineStr">
        <is>
          <t>2013-04</t>
        </is>
      </c>
      <c r="B224" s="40" t="n">
        <v>209621.828</v>
      </c>
      <c r="C224" s="40" t="n">
        <v>1904.342</v>
      </c>
      <c r="D224" s="40" t="n">
        <v>1904.342</v>
      </c>
      <c r="E224" s="40" t="n">
        <v>0</v>
      </c>
    </row>
    <row r="225">
      <c r="A225" s="39" t="inlineStr">
        <is>
          <t>2013-05</t>
        </is>
      </c>
      <c r="B225" s="40" t="n">
        <v>201046.331</v>
      </c>
      <c r="C225" s="40" t="n">
        <v>-8575.496999999999</v>
      </c>
      <c r="D225" s="40" t="n">
        <v>-8575.496999999999</v>
      </c>
      <c r="E225" s="40" t="n">
        <v>0</v>
      </c>
    </row>
    <row r="226">
      <c r="A226" s="41" t="inlineStr">
        <is>
          <t>2013-06</t>
        </is>
      </c>
      <c r="B226" s="42" t="n">
        <v>214567.507</v>
      </c>
      <c r="C226" s="42" t="n">
        <v>13521.176</v>
      </c>
      <c r="D226" s="42" t="n">
        <v>13518.104</v>
      </c>
      <c r="E226" s="42" t="n">
        <v>-3.072</v>
      </c>
    </row>
    <row r="227">
      <c r="A227" s="39" t="inlineStr">
        <is>
          <t>2013-07</t>
        </is>
      </c>
      <c r="B227" s="40" t="n">
        <v>210471.469</v>
      </c>
      <c r="C227" s="40" t="n">
        <v>-4096.038</v>
      </c>
      <c r="D227" s="40" t="n">
        <v>-4096.038</v>
      </c>
      <c r="E227" s="40" t="n">
        <v>0</v>
      </c>
    </row>
    <row r="228">
      <c r="A228" s="39" t="inlineStr">
        <is>
          <t>2013-08</t>
        </is>
      </c>
      <c r="B228" s="40" t="n">
        <v>209608.119</v>
      </c>
      <c r="C228" s="40" t="n">
        <v>-863.35</v>
      </c>
      <c r="D228" s="40" t="n">
        <v>-863.35</v>
      </c>
      <c r="E228" s="40" t="n">
        <v>0</v>
      </c>
    </row>
    <row r="229">
      <c r="A229" s="39" t="inlineStr">
        <is>
          <t>2013-09</t>
        </is>
      </c>
      <c r="B229" s="40" t="n">
        <v>229574.843</v>
      </c>
      <c r="C229" s="40" t="n">
        <v>19966.724</v>
      </c>
      <c r="D229" s="40" t="n">
        <v>19966.724</v>
      </c>
      <c r="E229" s="40" t="n">
        <v>0</v>
      </c>
    </row>
    <row r="230">
      <c r="A230" s="39" t="inlineStr">
        <is>
          <t>2013-10</t>
        </is>
      </c>
      <c r="B230" s="40" t="n">
        <v>211135.082</v>
      </c>
      <c r="C230" s="40" t="n">
        <v>-18439.761</v>
      </c>
      <c r="D230" s="40" t="n">
        <v>-18439.761</v>
      </c>
      <c r="E230" s="40" t="n">
        <v>0</v>
      </c>
    </row>
    <row r="231">
      <c r="A231" s="39" t="inlineStr">
        <is>
          <t>2013-11</t>
        </is>
      </c>
      <c r="B231" s="40" t="n">
        <v>215546.803</v>
      </c>
      <c r="C231" s="40" t="n">
        <v>4411.721</v>
      </c>
      <c r="D231" s="40" t="n">
        <v>4411.721</v>
      </c>
      <c r="E231" s="40" t="n">
        <v>0</v>
      </c>
    </row>
    <row r="232">
      <c r="A232" s="39" t="inlineStr">
        <is>
          <t>2013-12</t>
        </is>
      </c>
      <c r="B232" s="40" t="n">
        <v>249509.778</v>
      </c>
      <c r="C232" s="40" t="n">
        <v>33962.975</v>
      </c>
      <c r="D232" s="40" t="n">
        <v>33962.975</v>
      </c>
      <c r="E232" s="40" t="n">
        <v>0</v>
      </c>
    </row>
    <row r="233">
      <c r="A233" s="39" t="inlineStr">
        <is>
          <t>2014-01</t>
        </is>
      </c>
      <c r="B233" s="40" t="n">
        <v>222947.119</v>
      </c>
      <c r="C233" s="40" t="n">
        <v>-26562.659</v>
      </c>
      <c r="D233" s="40" t="n">
        <v>-26562.659</v>
      </c>
      <c r="E233" s="40" t="n">
        <v>0</v>
      </c>
    </row>
    <row r="234">
      <c r="A234" s="39" t="inlineStr">
        <is>
          <t>2014-02</t>
        </is>
      </c>
      <c r="B234" s="40" t="n">
        <v>224671.134</v>
      </c>
      <c r="C234" s="40" t="n">
        <v>1724.015</v>
      </c>
      <c r="D234" s="40" t="n">
        <v>1724.015</v>
      </c>
      <c r="E234" s="40" t="n">
        <v>0</v>
      </c>
    </row>
    <row r="235">
      <c r="A235" s="39" t="inlineStr">
        <is>
          <t>2014-03</t>
        </is>
      </c>
      <c r="B235" s="40" t="n">
        <v>228014.047</v>
      </c>
      <c r="C235" s="40" t="n">
        <v>3342.913</v>
      </c>
      <c r="D235" s="40" t="n">
        <v>3342.913</v>
      </c>
      <c r="E235" s="40" t="n">
        <v>0</v>
      </c>
    </row>
    <row r="236">
      <c r="A236" s="39" t="inlineStr">
        <is>
          <t>2014-04</t>
        </is>
      </c>
      <c r="B236" s="40" t="n">
        <v>222462.991</v>
      </c>
      <c r="C236" s="40" t="n">
        <v>-5551.056</v>
      </c>
      <c r="D236" s="40" t="n">
        <v>-5551.056</v>
      </c>
      <c r="E236" s="40" t="n">
        <v>0</v>
      </c>
    </row>
    <row r="237">
      <c r="A237" s="39" t="inlineStr">
        <is>
          <t>2014-05</t>
        </is>
      </c>
      <c r="B237" s="40" t="n">
        <v>214771.855</v>
      </c>
      <c r="C237" s="40" t="n">
        <v>-7691.136</v>
      </c>
      <c r="D237" s="40" t="n">
        <v>-7691.136</v>
      </c>
      <c r="E237" s="40" t="n">
        <v>0</v>
      </c>
    </row>
    <row r="238">
      <c r="A238" s="39" t="inlineStr">
        <is>
          <t>2014-06</t>
        </is>
      </c>
      <c r="B238" s="40" t="n">
        <v>222858.595</v>
      </c>
      <c r="C238" s="40" t="n">
        <v>8086.74</v>
      </c>
      <c r="D238" s="40" t="n">
        <v>8086.74</v>
      </c>
      <c r="E238" s="40" t="n">
        <v>0</v>
      </c>
    </row>
    <row r="239">
      <c r="A239" s="39" t="inlineStr">
        <is>
          <t>2014-07</t>
        </is>
      </c>
      <c r="B239" s="40" t="n">
        <v>223594.688</v>
      </c>
      <c r="C239" s="40" t="n">
        <v>736.093</v>
      </c>
      <c r="D239" s="40" t="n">
        <v>736.101</v>
      </c>
      <c r="E239" s="40" t="n">
        <v>0.008</v>
      </c>
    </row>
    <row r="240">
      <c r="A240" s="39" t="inlineStr">
        <is>
          <t>2014-08</t>
        </is>
      </c>
      <c r="B240" s="40" t="n">
        <v>231344.899</v>
      </c>
      <c r="C240" s="40" t="n">
        <v>7750.211</v>
      </c>
      <c r="D240" s="40" t="n">
        <v>7750.315</v>
      </c>
      <c r="E240" s="40" t="n">
        <v>0.104</v>
      </c>
    </row>
    <row r="241">
      <c r="A241" s="39" t="inlineStr">
        <is>
          <t>2014-09</t>
        </is>
      </c>
      <c r="B241" s="40" t="n">
        <v>238409.382</v>
      </c>
      <c r="C241" s="40" t="n">
        <v>7064.483</v>
      </c>
      <c r="D241" s="40" t="n">
        <v>7064.483</v>
      </c>
      <c r="E241" s="40" t="n">
        <v>0</v>
      </c>
    </row>
    <row r="242">
      <c r="A242" s="39" t="inlineStr">
        <is>
          <t>2014-10</t>
        </is>
      </c>
      <c r="B242" s="40" t="n">
        <v>231028.326</v>
      </c>
      <c r="C242" s="40" t="n">
        <v>-7381.056</v>
      </c>
      <c r="D242" s="40" t="n">
        <v>-7381.054</v>
      </c>
      <c r="E242" s="40" t="n">
        <v>0.002</v>
      </c>
    </row>
    <row r="243">
      <c r="A243" s="39" t="inlineStr">
        <is>
          <t>2014-11</t>
        </is>
      </c>
      <c r="B243" s="40" t="n">
        <v>241625.564</v>
      </c>
      <c r="C243" s="40" t="n">
        <v>10597.238</v>
      </c>
      <c r="D243" s="40" t="n">
        <v>10597.238</v>
      </c>
      <c r="E243" s="40" t="n">
        <v>0</v>
      </c>
    </row>
    <row r="244">
      <c r="A244" s="39" t="inlineStr">
        <is>
          <t>2014-12</t>
        </is>
      </c>
      <c r="B244" s="40" t="n">
        <v>263528.517</v>
      </c>
      <c r="C244" s="40" t="n">
        <v>21902.953</v>
      </c>
      <c r="D244" s="40" t="n">
        <v>21903.032</v>
      </c>
      <c r="E244" s="40" t="n">
        <v>0.079</v>
      </c>
    </row>
    <row r="245">
      <c r="A245" s="39" t="inlineStr">
        <is>
          <t>2015-01</t>
        </is>
      </c>
      <c r="B245" s="40" t="n">
        <v>238524.692</v>
      </c>
      <c r="C245" s="40" t="n">
        <v>-25003.825</v>
      </c>
      <c r="D245" s="40" t="n">
        <v>-25003.738</v>
      </c>
      <c r="E245" s="40" t="n">
        <v>0.08699999999999999</v>
      </c>
    </row>
    <row r="246">
      <c r="A246" s="39" t="inlineStr">
        <is>
          <t>2015-02</t>
        </is>
      </c>
      <c r="B246" s="40" t="n">
        <v>238815.587</v>
      </c>
      <c r="C246" s="40" t="n">
        <v>290.895</v>
      </c>
      <c r="D246" s="40" t="n">
        <v>290.921</v>
      </c>
      <c r="E246" s="40" t="n">
        <v>0.026</v>
      </c>
    </row>
    <row r="247">
      <c r="A247" s="39" t="inlineStr">
        <is>
          <t>2015-03</t>
        </is>
      </c>
      <c r="B247" s="40" t="n">
        <v>240656.354</v>
      </c>
      <c r="C247" s="40" t="n">
        <v>1840.767</v>
      </c>
      <c r="D247" s="40" t="n">
        <v>1840.971</v>
      </c>
      <c r="E247" s="40" t="n">
        <v>0.204</v>
      </c>
    </row>
    <row r="248">
      <c r="A248" s="39" t="inlineStr">
        <is>
          <t>2015-04</t>
        </is>
      </c>
      <c r="B248" s="40" t="n">
        <v>235020.109</v>
      </c>
      <c r="C248" s="40" t="n">
        <v>-5636.245</v>
      </c>
      <c r="D248" s="40" t="n">
        <v>-5636.242</v>
      </c>
      <c r="E248" s="40" t="n">
        <v>0.003</v>
      </c>
    </row>
    <row r="249">
      <c r="A249" s="39" t="inlineStr">
        <is>
          <t>2015-05</t>
        </is>
      </c>
      <c r="B249" s="40" t="n">
        <v>239513.461</v>
      </c>
      <c r="C249" s="40" t="n">
        <v>4493.352</v>
      </c>
      <c r="D249" s="40" t="n">
        <v>4493.356</v>
      </c>
      <c r="E249" s="40" t="n">
        <v>0.004</v>
      </c>
    </row>
    <row r="250">
      <c r="A250" s="39" t="inlineStr">
        <is>
          <t>2015-06</t>
        </is>
      </c>
      <c r="B250" s="40" t="n">
        <v>231958.724</v>
      </c>
      <c r="C250" s="40" t="n">
        <v>-7554.737</v>
      </c>
      <c r="D250" s="40" t="n">
        <v>-7554.734</v>
      </c>
      <c r="E250" s="40" t="n">
        <v>0.003</v>
      </c>
    </row>
    <row r="251">
      <c r="A251" s="39" t="inlineStr">
        <is>
          <t>2015-07</t>
        </is>
      </c>
      <c r="B251" s="40" t="n">
        <v>225062.844</v>
      </c>
      <c r="C251" s="40" t="n">
        <v>-6895.88</v>
      </c>
      <c r="D251" s="40" t="n">
        <v>-6895.828</v>
      </c>
      <c r="E251" s="40" t="n">
        <v>0.052</v>
      </c>
    </row>
    <row r="252">
      <c r="A252" s="39" t="inlineStr">
        <is>
          <t>2015-08</t>
        </is>
      </c>
      <c r="B252" s="40" t="n">
        <v>231716.459</v>
      </c>
      <c r="C252" s="40" t="n">
        <v>6653.615</v>
      </c>
      <c r="D252" s="40" t="n">
        <v>6654.056</v>
      </c>
      <c r="E252" s="40" t="n">
        <v>0.441</v>
      </c>
    </row>
    <row r="253">
      <c r="A253" s="39" t="inlineStr">
        <is>
          <t>2015-09</t>
        </is>
      </c>
      <c r="B253" s="40" t="n">
        <v>228447.456</v>
      </c>
      <c r="C253" s="40" t="n">
        <v>-3269.003</v>
      </c>
      <c r="D253" s="40" t="n">
        <v>-3268.998</v>
      </c>
      <c r="E253" s="40" t="n">
        <v>0.005</v>
      </c>
    </row>
    <row r="254">
      <c r="A254" s="39" t="inlineStr">
        <is>
          <t>2015-10</t>
        </is>
      </c>
      <c r="B254" s="40" t="n">
        <v>239621.335</v>
      </c>
      <c r="C254" s="40" t="n">
        <v>11173.879</v>
      </c>
      <c r="D254" s="40" t="n">
        <v>11173.898</v>
      </c>
      <c r="E254" s="40" t="n">
        <v>0.019</v>
      </c>
    </row>
    <row r="255">
      <c r="A255" s="39" t="inlineStr">
        <is>
          <t>2015-11</t>
        </is>
      </c>
      <c r="B255" s="40" t="n">
        <v>242846.854</v>
      </c>
      <c r="C255" s="40" t="n">
        <v>3225.519</v>
      </c>
      <c r="D255" s="40" t="n">
        <v>3225.577</v>
      </c>
      <c r="E255" s="40" t="n">
        <v>0.058</v>
      </c>
    </row>
    <row r="256">
      <c r="A256" s="39" t="inlineStr">
        <is>
          <t>2015-12</t>
        </is>
      </c>
      <c r="B256" s="40" t="n">
        <v>255288.922</v>
      </c>
      <c r="C256" s="40" t="n">
        <v>12442.068</v>
      </c>
      <c r="D256" s="40" t="n">
        <v>12442.122</v>
      </c>
      <c r="E256" s="40" t="n">
        <v>0.054</v>
      </c>
    </row>
    <row r="257">
      <c r="A257" s="39" t="inlineStr">
        <is>
          <t>2016-01</t>
        </is>
      </c>
      <c r="B257" s="40" t="n">
        <v>240328.748</v>
      </c>
      <c r="C257" s="40" t="n">
        <v>-14960.174</v>
      </c>
      <c r="D257" s="40" t="n">
        <v>-14960.173</v>
      </c>
      <c r="E257" s="40" t="n">
        <v>0.001</v>
      </c>
    </row>
    <row r="258">
      <c r="A258" s="39" t="inlineStr">
        <is>
          <t>2016-02</t>
        </is>
      </c>
      <c r="B258" s="40" t="n">
        <v>252559.892</v>
      </c>
      <c r="C258" s="40" t="n">
        <v>12231.144</v>
      </c>
      <c r="D258" s="40" t="n">
        <v>12231.158</v>
      </c>
      <c r="E258" s="40" t="n">
        <v>0.014</v>
      </c>
    </row>
    <row r="259">
      <c r="A259" s="39" t="inlineStr">
        <is>
          <t>2016-03</t>
        </is>
      </c>
      <c r="B259" s="40" t="n">
        <v>242529.929</v>
      </c>
      <c r="C259" s="40" t="n">
        <v>-10029.963</v>
      </c>
      <c r="D259" s="40" t="n">
        <v>-10029.91</v>
      </c>
      <c r="E259" s="40" t="n">
        <v>0.053</v>
      </c>
    </row>
    <row r="260">
      <c r="A260" s="39" t="inlineStr">
        <is>
          <t>2016-04</t>
        </is>
      </c>
      <c r="B260" s="40" t="n">
        <v>242142.585</v>
      </c>
      <c r="C260" s="40" t="n">
        <v>-387.344</v>
      </c>
      <c r="D260" s="40" t="n">
        <v>-387.31</v>
      </c>
      <c r="E260" s="40" t="n">
        <v>0.034</v>
      </c>
    </row>
    <row r="261">
      <c r="A261" s="39" t="inlineStr">
        <is>
          <t>2016-05</t>
        </is>
      </c>
      <c r="B261" s="40" t="n">
        <v>239965.619</v>
      </c>
      <c r="C261" s="40" t="n">
        <v>-2176.966</v>
      </c>
      <c r="D261" s="40" t="n">
        <v>-2176.965</v>
      </c>
      <c r="E261" s="40" t="n">
        <v>0.001</v>
      </c>
    </row>
    <row r="262">
      <c r="A262" s="39" t="inlineStr">
        <is>
          <t>2016-06</t>
        </is>
      </c>
      <c r="B262" s="40" t="n">
        <v>234678.114</v>
      </c>
      <c r="C262" s="40" t="n">
        <v>-5287.505</v>
      </c>
      <c r="D262" s="40" t="n">
        <v>-5287.505</v>
      </c>
      <c r="E262" s="40" t="n">
        <v>0</v>
      </c>
    </row>
    <row r="263">
      <c r="A263" s="39" t="inlineStr">
        <is>
          <t>2016-07</t>
        </is>
      </c>
      <c r="B263" s="40" t="n">
        <v>240845.334</v>
      </c>
      <c r="C263" s="40" t="n">
        <v>6167.22</v>
      </c>
      <c r="D263" s="40" t="n">
        <v>6167.222</v>
      </c>
      <c r="E263" s="40" t="n">
        <v>0.002</v>
      </c>
    </row>
    <row r="264">
      <c r="A264" s="39" t="inlineStr">
        <is>
          <t>2016-08</t>
        </is>
      </c>
      <c r="B264" s="40" t="n">
        <v>235768.695</v>
      </c>
      <c r="C264" s="40" t="n">
        <v>-5076.639</v>
      </c>
      <c r="D264" s="40" t="n">
        <v>-5076.637</v>
      </c>
      <c r="E264" s="40" t="n">
        <v>0.002</v>
      </c>
    </row>
    <row r="265">
      <c r="A265" s="39" t="inlineStr">
        <is>
          <t>2016-09</t>
        </is>
      </c>
      <c r="B265" s="40" t="n">
        <v>247035.954</v>
      </c>
      <c r="C265" s="40" t="n">
        <v>11267.259</v>
      </c>
      <c r="D265" s="40" t="n">
        <v>11267.26</v>
      </c>
      <c r="E265" s="40" t="n">
        <v>0.001</v>
      </c>
    </row>
    <row r="266">
      <c r="A266" s="39" t="inlineStr">
        <is>
          <t>2016-10</t>
        </is>
      </c>
      <c r="B266" s="40" t="n">
        <v>247845.546</v>
      </c>
      <c r="C266" s="40" t="n">
        <v>809.592</v>
      </c>
      <c r="D266" s="40" t="n">
        <v>809.592</v>
      </c>
      <c r="E266" s="40" t="n">
        <v>0</v>
      </c>
    </row>
    <row r="267">
      <c r="A267" s="39" t="inlineStr">
        <is>
          <t>2016-11</t>
        </is>
      </c>
      <c r="B267" s="40" t="n">
        <v>244919.983</v>
      </c>
      <c r="C267" s="40" t="n">
        <v>-2925.563</v>
      </c>
      <c r="D267" s="40" t="n">
        <v>-2925.557</v>
      </c>
      <c r="E267" s="40" t="n">
        <v>0.006</v>
      </c>
    </row>
    <row r="268">
      <c r="A268" s="39" t="inlineStr">
        <is>
          <t>2016-12</t>
        </is>
      </c>
      <c r="B268" s="40" t="n">
        <v>270287.146</v>
      </c>
      <c r="C268" s="40" t="n">
        <v>25367.163</v>
      </c>
      <c r="D268" s="40" t="n">
        <v>25367.222</v>
      </c>
      <c r="E268" s="40" t="n">
        <v>0.059</v>
      </c>
    </row>
    <row r="269">
      <c r="A269" s="39" t="inlineStr">
        <is>
          <t>2017-01</t>
        </is>
      </c>
      <c r="B269" s="40" t="n">
        <v>262392.204</v>
      </c>
      <c r="C269" s="40" t="n">
        <v>-7894.942</v>
      </c>
      <c r="D269" s="40" t="n">
        <v>-7894.935</v>
      </c>
      <c r="E269" s="40" t="n">
        <v>0.007</v>
      </c>
    </row>
    <row r="270">
      <c r="A270" s="39" t="inlineStr">
        <is>
          <t>2017-02</t>
        </is>
      </c>
      <c r="B270" s="40" t="n">
        <v>266324.996</v>
      </c>
      <c r="C270" s="40" t="n">
        <v>3932.792</v>
      </c>
      <c r="D270" s="40" t="n">
        <v>3932.791</v>
      </c>
      <c r="E270" s="40" t="n">
        <v>-0.001</v>
      </c>
    </row>
    <row r="271">
      <c r="A271" s="39" t="inlineStr">
        <is>
          <t>2017-03</t>
        </is>
      </c>
      <c r="B271" s="40" t="n">
        <v>243610.35</v>
      </c>
      <c r="C271" s="40" t="n">
        <v>-22714.646</v>
      </c>
      <c r="D271" s="40" t="n">
        <v>-22714.643</v>
      </c>
      <c r="E271" s="40" t="n">
        <v>0.003</v>
      </c>
    </row>
    <row r="272">
      <c r="A272" s="39" t="inlineStr">
        <is>
          <t>2017-04</t>
        </is>
      </c>
      <c r="B272" s="40" t="n">
        <v>263654.534</v>
      </c>
      <c r="C272" s="40" t="n">
        <v>20044.184</v>
      </c>
      <c r="D272" s="40" t="n">
        <v>20044.184</v>
      </c>
      <c r="E272" s="40" t="n">
        <v>0</v>
      </c>
    </row>
    <row r="273">
      <c r="A273" s="39" t="inlineStr">
        <is>
          <t>2017-05</t>
        </is>
      </c>
      <c r="B273" s="40" t="n">
        <v>237651.513</v>
      </c>
      <c r="C273" s="40" t="n">
        <v>-26003.021</v>
      </c>
      <c r="D273" s="40" t="n">
        <v>-26003.008</v>
      </c>
      <c r="E273" s="40" t="n">
        <v>0.013</v>
      </c>
    </row>
    <row r="274">
      <c r="A274" s="39" t="inlineStr">
        <is>
          <t>2017-06</t>
        </is>
      </c>
      <c r="B274" s="40" t="n">
        <v>260238.97</v>
      </c>
      <c r="C274" s="40" t="n">
        <v>22587.457</v>
      </c>
      <c r="D274" s="40" t="n">
        <v>22587.457</v>
      </c>
      <c r="E274" s="40" t="n">
        <v>0</v>
      </c>
    </row>
    <row r="275">
      <c r="A275" s="39" t="inlineStr">
        <is>
          <t>2017-07</t>
        </is>
      </c>
      <c r="B275" s="40" t="n">
        <v>255860.258</v>
      </c>
      <c r="C275" s="40" t="n">
        <v>-4378.712</v>
      </c>
      <c r="D275" s="40" t="n">
        <v>-4378.711</v>
      </c>
      <c r="E275" s="40" t="n">
        <v>0.001</v>
      </c>
    </row>
    <row r="276">
      <c r="A276" s="39" t="inlineStr">
        <is>
          <t>2017-08</t>
        </is>
      </c>
      <c r="B276" s="40" t="n">
        <v>252160.311</v>
      </c>
      <c r="C276" s="40" t="n">
        <v>-3699.947</v>
      </c>
      <c r="D276" s="40" t="n">
        <v>-3699.948</v>
      </c>
      <c r="E276" s="40" t="n">
        <v>-0.001</v>
      </c>
    </row>
    <row r="277">
      <c r="A277" s="39" t="inlineStr">
        <is>
          <t>2017-09</t>
        </is>
      </c>
      <c r="B277" s="40" t="n">
        <v>262770.311</v>
      </c>
      <c r="C277" s="40" t="n">
        <v>10610</v>
      </c>
      <c r="D277" s="40" t="n">
        <v>10610.011</v>
      </c>
      <c r="E277" s="40" t="n">
        <v>0.011</v>
      </c>
    </row>
    <row r="278">
      <c r="A278" s="39" t="inlineStr">
        <is>
          <t>2017-10</t>
        </is>
      </c>
      <c r="B278" s="40" t="n">
        <v>254453.34</v>
      </c>
      <c r="C278" s="40" t="n">
        <v>-8316.971</v>
      </c>
      <c r="D278" s="40" t="n">
        <v>-8316.934999999999</v>
      </c>
      <c r="E278" s="40" t="n">
        <v>0.036</v>
      </c>
    </row>
    <row r="279">
      <c r="A279" s="39" t="inlineStr">
        <is>
          <t>2017-11</t>
        </is>
      </c>
      <c r="B279" s="40" t="n">
        <v>264219.805</v>
      </c>
      <c r="C279" s="40" t="n">
        <v>9766.465</v>
      </c>
      <c r="D279" s="40" t="n">
        <v>9766.465</v>
      </c>
      <c r="E279" s="40" t="n">
        <v>0</v>
      </c>
    </row>
    <row r="280">
      <c r="A280" s="39" t="inlineStr">
        <is>
          <t>2017-12</t>
        </is>
      </c>
      <c r="B280" s="40" t="n">
        <v>296755.456</v>
      </c>
      <c r="C280" s="40" t="n">
        <v>32535.651</v>
      </c>
      <c r="D280" s="40" t="n">
        <v>32535.655</v>
      </c>
      <c r="E280" s="40" t="n">
        <v>0.004</v>
      </c>
    </row>
    <row r="281">
      <c r="A281" s="39" t="inlineStr">
        <is>
          <t>2018-01</t>
        </is>
      </c>
      <c r="B281" s="40" t="n">
        <v>272396.111</v>
      </c>
      <c r="C281" s="40" t="n">
        <v>-24359.345</v>
      </c>
      <c r="D281" s="40" t="n">
        <v>-24359.343</v>
      </c>
      <c r="E281" s="40" t="n">
        <v>0.002</v>
      </c>
    </row>
    <row r="282">
      <c r="A282" s="39" t="inlineStr">
        <is>
          <t>2018-02</t>
        </is>
      </c>
      <c r="B282" s="40" t="n">
        <v>264517.034</v>
      </c>
      <c r="C282" s="40" t="n">
        <v>-7879.077</v>
      </c>
      <c r="D282" s="40" t="n">
        <v>-7879.077</v>
      </c>
      <c r="E282" s="40" t="n">
        <v>0</v>
      </c>
    </row>
    <row r="283">
      <c r="A283" s="39" t="inlineStr">
        <is>
          <t>2018-03</t>
        </is>
      </c>
      <c r="B283" s="40" t="n">
        <v>275056.18</v>
      </c>
      <c r="C283" s="40" t="n">
        <v>10539.146</v>
      </c>
      <c r="D283" s="40" t="n">
        <v>10539.154</v>
      </c>
      <c r="E283" s="40" t="n">
        <v>0.008</v>
      </c>
    </row>
    <row r="284">
      <c r="A284" s="39" t="inlineStr">
        <is>
          <t>2018-04</t>
        </is>
      </c>
      <c r="B284" s="40" t="n">
        <v>263342.859</v>
      </c>
      <c r="C284" s="40" t="n">
        <v>-11713.321</v>
      </c>
      <c r="D284" s="40" t="n">
        <v>-11713.315</v>
      </c>
      <c r="E284" s="40" t="n">
        <v>0.006</v>
      </c>
    </row>
    <row r="285">
      <c r="A285" s="39" t="inlineStr">
        <is>
          <t>2018-05</t>
        </is>
      </c>
      <c r="B285" s="40" t="n">
        <v>269552.906</v>
      </c>
      <c r="C285" s="40" t="n">
        <v>6210.047</v>
      </c>
      <c r="D285" s="40" t="n">
        <v>6210.047</v>
      </c>
      <c r="E285" s="40" t="n">
        <v>0</v>
      </c>
    </row>
    <row r="286">
      <c r="A286" s="39" t="inlineStr">
        <is>
          <t>2018-06</t>
        </is>
      </c>
      <c r="B286" s="40" t="n">
        <v>269827.763</v>
      </c>
      <c r="C286" s="40" t="n">
        <v>274.857</v>
      </c>
      <c r="D286" s="40" t="n">
        <v>274.893</v>
      </c>
      <c r="E286" s="40" t="n">
        <v>0.036</v>
      </c>
    </row>
    <row r="287">
      <c r="A287" s="39" t="inlineStr">
        <is>
          <t>2018-07</t>
        </is>
      </c>
      <c r="B287" s="40" t="n">
        <v>275338.55</v>
      </c>
      <c r="C287" s="40" t="n">
        <v>5510.787</v>
      </c>
      <c r="D287" s="40" t="n">
        <v>5510.909</v>
      </c>
      <c r="E287" s="40" t="n">
        <v>0.122</v>
      </c>
    </row>
    <row r="288">
      <c r="A288" s="39" t="inlineStr">
        <is>
          <t>2018-08</t>
        </is>
      </c>
      <c r="B288" s="40" t="n">
        <v>277677.286</v>
      </c>
      <c r="C288" s="40" t="n">
        <v>2338.736</v>
      </c>
      <c r="D288" s="40" t="n">
        <v>2338.735</v>
      </c>
      <c r="E288" s="40" t="n">
        <v>-0.001</v>
      </c>
    </row>
    <row r="289">
      <c r="A289" s="39" t="inlineStr">
        <is>
          <t>2018-09</t>
        </is>
      </c>
      <c r="B289" s="40" t="n">
        <v>279406.906</v>
      </c>
      <c r="C289" s="40" t="n">
        <v>1729.62</v>
      </c>
      <c r="D289" s="40" t="n">
        <v>1729.62</v>
      </c>
      <c r="E289" s="40" t="n">
        <v>0</v>
      </c>
    </row>
    <row r="290">
      <c r="A290" s="39" t="inlineStr">
        <is>
          <t>2018-10</t>
        </is>
      </c>
      <c r="B290" s="40" t="n">
        <v>286975.496</v>
      </c>
      <c r="C290" s="40" t="n">
        <v>7568.59</v>
      </c>
      <c r="D290" s="40" t="n">
        <v>7568.591</v>
      </c>
      <c r="E290" s="40" t="n">
        <v>0.001</v>
      </c>
    </row>
    <row r="291">
      <c r="A291" s="39" t="inlineStr">
        <is>
          <t>2018-11</t>
        </is>
      </c>
      <c r="B291" s="40" t="n">
        <v>279258.83</v>
      </c>
      <c r="C291" s="40" t="n">
        <v>-7716.666</v>
      </c>
      <c r="D291" s="40" t="n">
        <v>-7716.664</v>
      </c>
      <c r="E291" s="40" t="n">
        <v>0.002</v>
      </c>
    </row>
    <row r="292">
      <c r="A292" s="39" t="inlineStr">
        <is>
          <t>2018-12</t>
        </is>
      </c>
      <c r="B292" s="40" t="n">
        <v>302049.461</v>
      </c>
      <c r="C292" s="40" t="n">
        <v>22790.631</v>
      </c>
      <c r="D292" s="40" t="n">
        <v>22790.683</v>
      </c>
      <c r="E292" s="40" t="n">
        <v>0.052</v>
      </c>
    </row>
    <row r="293">
      <c r="A293" s="39" t="inlineStr">
        <is>
          <t>2019-01</t>
        </is>
      </c>
      <c r="B293" s="40" t="n">
        <v>279105.602</v>
      </c>
      <c r="C293" s="40" t="n">
        <v>-22943.859</v>
      </c>
      <c r="D293" s="40" t="n">
        <v>-22943.775</v>
      </c>
      <c r="E293" s="40" t="n">
        <v>0.08400000000000001</v>
      </c>
    </row>
    <row r="294">
      <c r="A294" s="39" t="inlineStr">
        <is>
          <t>2019-02</t>
        </is>
      </c>
      <c r="B294" s="40" t="n">
        <v>290147.814</v>
      </c>
      <c r="C294" s="40" t="n">
        <v>11042.212</v>
      </c>
      <c r="D294" s="40" t="n">
        <v>11042.211</v>
      </c>
      <c r="E294" s="40" t="n">
        <v>-0.001</v>
      </c>
    </row>
    <row r="295">
      <c r="A295" s="39" t="inlineStr">
        <is>
          <t>2019-03</t>
        </is>
      </c>
      <c r="B295" s="40" t="n">
        <v>286741.568</v>
      </c>
      <c r="C295" s="40" t="n">
        <v>-3406.246</v>
      </c>
      <c r="D295" s="40" t="n">
        <v>-3406.245</v>
      </c>
      <c r="E295" s="40" t="n">
        <v>0.001</v>
      </c>
    </row>
    <row r="296">
      <c r="A296" s="39" t="inlineStr">
        <is>
          <t>2019-04</t>
        </is>
      </c>
      <c r="B296" s="40" t="n">
        <v>279604.663</v>
      </c>
      <c r="C296" s="40" t="n">
        <v>-7136.905</v>
      </c>
      <c r="D296" s="40" t="n">
        <v>-7136.905</v>
      </c>
      <c r="E296" s="40" t="n">
        <v>0</v>
      </c>
    </row>
    <row r="297">
      <c r="A297" s="39" t="inlineStr">
        <is>
          <t>2019-05</t>
        </is>
      </c>
      <c r="B297" s="40" t="n">
        <v>277875.947</v>
      </c>
      <c r="C297" s="40" t="n">
        <v>-1728.716</v>
      </c>
      <c r="D297" s="40" t="n">
        <v>-1728.717</v>
      </c>
      <c r="E297" s="40" t="n">
        <v>-0.001</v>
      </c>
    </row>
    <row r="298">
      <c r="A298" s="39" t="inlineStr">
        <is>
          <t>2019-06</t>
        </is>
      </c>
      <c r="B298" s="40" t="n">
        <v>276039.957</v>
      </c>
      <c r="C298" s="40" t="n">
        <v>-1835.99</v>
      </c>
      <c r="D298" s="40" t="n">
        <v>-1835.99</v>
      </c>
      <c r="E298" s="40" t="n">
        <v>0</v>
      </c>
    </row>
    <row r="299">
      <c r="A299" s="39" t="inlineStr">
        <is>
          <t>2019-07</t>
        </is>
      </c>
      <c r="B299" s="40" t="n">
        <v>271344.687</v>
      </c>
      <c r="C299" s="40" t="n">
        <v>-4695.27</v>
      </c>
      <c r="D299" s="40" t="n">
        <v>-4695.27</v>
      </c>
      <c r="E299" s="40" t="n">
        <v>0</v>
      </c>
    </row>
    <row r="300">
      <c r="A300" s="39" t="inlineStr">
        <is>
          <t>2019-08</t>
        </is>
      </c>
      <c r="B300" s="40" t="n">
        <v>282617.3</v>
      </c>
      <c r="C300" s="40" t="n">
        <v>11272.613</v>
      </c>
      <c r="D300" s="40" t="n">
        <v>11272.614</v>
      </c>
      <c r="E300" s="40" t="n">
        <v>0.001</v>
      </c>
    </row>
    <row r="301">
      <c r="A301" s="39" t="inlineStr">
        <is>
          <t>2019-09</t>
        </is>
      </c>
      <c r="B301" s="40" t="n">
        <v>281136.562</v>
      </c>
      <c r="C301" s="40" t="n">
        <v>-1480.738</v>
      </c>
      <c r="D301" s="40" t="n">
        <v>-1480.738</v>
      </c>
      <c r="E301" s="40" t="n">
        <v>0</v>
      </c>
    </row>
    <row r="302">
      <c r="A302" s="39" t="inlineStr">
        <is>
          <t>2019-10</t>
        </is>
      </c>
      <c r="B302" s="40" t="n">
        <v>292347.495</v>
      </c>
      <c r="C302" s="40" t="n">
        <v>11210.933</v>
      </c>
      <c r="D302" s="40" t="n">
        <v>11210.933</v>
      </c>
      <c r="E302" s="40" t="n">
        <v>0</v>
      </c>
    </row>
    <row r="303">
      <c r="A303" s="39" t="inlineStr">
        <is>
          <t>2019-11</t>
        </is>
      </c>
      <c r="B303" s="40" t="n">
        <v>296782.893</v>
      </c>
      <c r="C303" s="40" t="n">
        <v>4435.398</v>
      </c>
      <c r="D303" s="40" t="n">
        <v>4435.397</v>
      </c>
      <c r="E303" s="40" t="n">
        <v>-0.001</v>
      </c>
    </row>
    <row r="304">
      <c r="A304" s="39" t="inlineStr">
        <is>
          <t>2019-12</t>
        </is>
      </c>
      <c r="B304" s="40" t="n">
        <v>316586.707</v>
      </c>
      <c r="C304" s="40" t="n">
        <v>19803.814</v>
      </c>
      <c r="D304" s="40" t="n">
        <v>19803.813</v>
      </c>
      <c r="E304" s="40" t="n">
        <v>-0.001</v>
      </c>
    </row>
    <row r="305">
      <c r="A305" s="39" t="inlineStr">
        <is>
          <t>2020-01</t>
        </is>
      </c>
      <c r="B305" s="40" t="n">
        <v>317959.396</v>
      </c>
      <c r="C305" s="40" t="n">
        <v>1372.689</v>
      </c>
      <c r="D305" s="40" t="n">
        <v>1372.689</v>
      </c>
      <c r="E305" s="40" t="n">
        <v>0</v>
      </c>
    </row>
    <row r="306">
      <c r="A306" s="39" t="inlineStr">
        <is>
          <t>2020-02</t>
        </is>
      </c>
      <c r="B306" s="40" t="n">
        <v>303197.485</v>
      </c>
      <c r="C306" s="40" t="n">
        <v>-14761.911</v>
      </c>
      <c r="D306" s="40" t="n">
        <v>-14761.91</v>
      </c>
      <c r="E306" s="40" t="n">
        <v>0.001</v>
      </c>
    </row>
    <row r="307">
      <c r="A307" s="39" t="inlineStr">
        <is>
          <t>2020-03</t>
        </is>
      </c>
      <c r="B307" s="40" t="n">
        <v>307560.246</v>
      </c>
      <c r="C307" s="40" t="n">
        <v>4362.761</v>
      </c>
      <c r="D307" s="40" t="n">
        <v>4362.761</v>
      </c>
      <c r="E307" s="40" t="n">
        <v>0</v>
      </c>
    </row>
    <row r="308">
      <c r="A308" s="39" t="inlineStr">
        <is>
          <t>2020-04</t>
        </is>
      </c>
      <c r="B308" s="40" t="n">
        <v>336684.294</v>
      </c>
      <c r="C308" s="40" t="n">
        <v>29124.048</v>
      </c>
      <c r="D308" s="40" t="n">
        <v>29124.047</v>
      </c>
      <c r="E308" s="40" t="n">
        <v>-0.001</v>
      </c>
    </row>
    <row r="309">
      <c r="A309" s="39" t="inlineStr">
        <is>
          <t>2020-05</t>
        </is>
      </c>
      <c r="B309" s="40" t="n">
        <v>368062.869</v>
      </c>
      <c r="C309" s="40" t="n">
        <v>31378.575</v>
      </c>
      <c r="D309" s="40" t="n">
        <v>31378.575</v>
      </c>
      <c r="E309" s="40" t="n">
        <v>0</v>
      </c>
    </row>
    <row r="310">
      <c r="A310" s="39" t="inlineStr">
        <is>
          <t>2020-06</t>
        </is>
      </c>
      <c r="B310" s="40" t="n">
        <v>381679.997</v>
      </c>
      <c r="C310" s="40" t="n">
        <v>13617.128</v>
      </c>
      <c r="D310" s="40" t="n">
        <v>13617.127</v>
      </c>
      <c r="E310" s="40" t="n">
        <v>-0.001</v>
      </c>
    </row>
    <row r="311">
      <c r="A311" s="39" t="inlineStr">
        <is>
          <t>2020-07</t>
        </is>
      </c>
      <c r="B311" s="40" t="n">
        <v>423674.702</v>
      </c>
      <c r="C311" s="40" t="n">
        <v>41994.705</v>
      </c>
      <c r="D311" s="40" t="n">
        <v>41994.704</v>
      </c>
      <c r="E311" s="40" t="n">
        <v>-0.001</v>
      </c>
    </row>
    <row r="312">
      <c r="A312" s="39" t="inlineStr">
        <is>
          <t>2020-08</t>
        </is>
      </c>
      <c r="B312" s="40" t="n">
        <v>402707.438</v>
      </c>
      <c r="C312" s="40" t="n">
        <v>-20967.264</v>
      </c>
      <c r="D312" s="40" t="n">
        <v>-20967.264</v>
      </c>
      <c r="E312" s="40" t="n">
        <v>0</v>
      </c>
    </row>
    <row r="313">
      <c r="A313" s="39" t="inlineStr">
        <is>
          <t>2020-09</t>
        </is>
      </c>
      <c r="B313" s="40" t="n">
        <v>408736.99</v>
      </c>
      <c r="C313" s="40" t="n">
        <v>6029.552</v>
      </c>
      <c r="D313" s="40" t="n">
        <v>6029.55</v>
      </c>
      <c r="E313" s="40" t="n">
        <v>-0.002</v>
      </c>
    </row>
    <row r="314">
      <c r="A314" s="39" t="inlineStr">
        <is>
          <t>2020-10</t>
        </is>
      </c>
      <c r="B314" s="40" t="n">
        <v>427820.406</v>
      </c>
      <c r="C314" s="40" t="n">
        <v>19083.416</v>
      </c>
      <c r="D314" s="40" t="n">
        <v>19083.416</v>
      </c>
      <c r="E314" s="40" t="n">
        <v>0</v>
      </c>
    </row>
    <row r="315">
      <c r="A315" s="39" t="inlineStr">
        <is>
          <t>2020-11</t>
        </is>
      </c>
      <c r="B315" s="40" t="n">
        <v>417679.545</v>
      </c>
      <c r="C315" s="40" t="n">
        <v>-10140.861</v>
      </c>
      <c r="D315" s="40" t="n">
        <v>-10140.861</v>
      </c>
      <c r="E315" s="40" t="n">
        <v>0</v>
      </c>
    </row>
    <row r="316">
      <c r="A316" s="39" t="inlineStr">
        <is>
          <t>2020-12</t>
        </is>
      </c>
      <c r="B316" s="40" t="n">
        <v>431536.653</v>
      </c>
      <c r="C316" s="40" t="n">
        <v>13857.108</v>
      </c>
      <c r="D316" s="40" t="n">
        <v>13857.108</v>
      </c>
      <c r="E316" s="40" t="n">
        <v>0</v>
      </c>
    </row>
    <row r="317">
      <c r="A317" s="39" t="inlineStr">
        <is>
          <t>2021-01</t>
        </is>
      </c>
      <c r="B317" s="40" t="n">
        <v>433590.499</v>
      </c>
      <c r="C317" s="40" t="n">
        <v>2053.846</v>
      </c>
      <c r="D317" s="40" t="n">
        <v>2053.845</v>
      </c>
      <c r="E317" s="40" t="n">
        <v>-0.001</v>
      </c>
    </row>
    <row r="318">
      <c r="A318" s="39" t="inlineStr">
        <is>
          <t>2021-02</t>
        </is>
      </c>
      <c r="B318" s="40" t="n">
        <v>411411.002</v>
      </c>
      <c r="C318" s="40" t="n">
        <v>-22179.497</v>
      </c>
      <c r="D318" s="40" t="n">
        <v>-22179.497</v>
      </c>
      <c r="E318" s="40" t="n">
        <v>0</v>
      </c>
    </row>
    <row r="319">
      <c r="A319" s="39" t="inlineStr">
        <is>
          <t>2021-03</t>
        </is>
      </c>
      <c r="B319" s="40" t="n">
        <v>405630.283</v>
      </c>
      <c r="C319" s="40" t="n">
        <v>-5780.719</v>
      </c>
      <c r="D319" s="40" t="n">
        <v>-5780.72</v>
      </c>
      <c r="E319" s="40" t="n">
        <v>-0.001</v>
      </c>
    </row>
    <row r="320">
      <c r="A320" s="39" t="inlineStr">
        <is>
          <t>2021-04</t>
        </is>
      </c>
      <c r="B320" s="40" t="n">
        <v>420148.02</v>
      </c>
      <c r="C320" s="40" t="n">
        <v>14517.737</v>
      </c>
      <c r="D320" s="40" t="n">
        <v>14517.737</v>
      </c>
      <c r="E320" s="40" t="n">
        <v>0</v>
      </c>
    </row>
    <row r="321">
      <c r="A321" s="39" t="inlineStr">
        <is>
          <t>2021-05</t>
        </is>
      </c>
      <c r="B321" s="40" t="n">
        <v>403527.996</v>
      </c>
      <c r="C321" s="40" t="n">
        <v>-16620.024</v>
      </c>
      <c r="D321" s="40" t="n">
        <v>-16620.025</v>
      </c>
      <c r="E321" s="40" t="n">
        <v>-0.001</v>
      </c>
    </row>
    <row r="322">
      <c r="A322" s="39" t="inlineStr">
        <is>
          <t>2021-06</t>
        </is>
      </c>
      <c r="B322" s="40" t="n">
        <v>422212.123</v>
      </c>
      <c r="C322" s="40" t="n">
        <v>18684.127</v>
      </c>
      <c r="D322" s="40" t="n">
        <v>18684.126</v>
      </c>
      <c r="E322" s="40" t="n">
        <v>-0.001</v>
      </c>
    </row>
    <row r="323">
      <c r="A323" s="39" t="inlineStr">
        <is>
          <t>2021-07</t>
        </is>
      </c>
      <c r="B323" s="40" t="n">
        <v>427958.21</v>
      </c>
      <c r="C323" s="40" t="n">
        <v>5746.087</v>
      </c>
      <c r="D323" s="40" t="n">
        <v>5746.087</v>
      </c>
      <c r="E323" s="40" t="n">
        <v>0</v>
      </c>
    </row>
    <row r="324">
      <c r="A324" s="39" t="inlineStr">
        <is>
          <t>2021-08</t>
        </is>
      </c>
      <c r="B324" s="40" t="n">
        <v>406329.194</v>
      </c>
      <c r="C324" s="40" t="n">
        <v>-21629.016</v>
      </c>
      <c r="D324" s="40" t="n">
        <v>-21629.015</v>
      </c>
      <c r="E324" s="40" t="n">
        <v>0.001</v>
      </c>
    </row>
    <row r="325">
      <c r="A325" s="39" t="inlineStr">
        <is>
          <t>2021-09</t>
        </is>
      </c>
      <c r="B325" s="40" t="n">
        <v>403676.335</v>
      </c>
      <c r="C325" s="40" t="n">
        <v>-2652.859</v>
      </c>
      <c r="D325" s="40" t="n">
        <v>-2652.86</v>
      </c>
      <c r="E325" s="40" t="n">
        <v>-0.001</v>
      </c>
    </row>
    <row r="326">
      <c r="A326" s="39" t="inlineStr">
        <is>
          <t>2021-10</t>
        </is>
      </c>
      <c r="B326" s="40" t="n">
        <v>396208.882</v>
      </c>
      <c r="C326" s="40" t="n">
        <v>-7467.453</v>
      </c>
      <c r="D326" s="40" t="n">
        <v>-7467.454</v>
      </c>
      <c r="E326" s="40" t="n">
        <v>-0.001</v>
      </c>
    </row>
    <row r="327">
      <c r="A327" s="39" t="inlineStr">
        <is>
          <t>2021-11</t>
        </is>
      </c>
      <c r="B327" s="40" t="n">
        <v>413271.664</v>
      </c>
      <c r="C327" s="40" t="n">
        <v>17062.782</v>
      </c>
      <c r="D327" s="40" t="n">
        <v>17062.783</v>
      </c>
      <c r="E327" s="40" t="n">
        <v>0.001</v>
      </c>
    </row>
    <row r="328">
      <c r="A328" s="39" t="inlineStr">
        <is>
          <t>2021-12</t>
        </is>
      </c>
      <c r="B328" s="40" t="n">
        <v>409183.519</v>
      </c>
      <c r="C328" s="40" t="n">
        <v>-4088.145</v>
      </c>
      <c r="D328" s="40" t="n">
        <v>-4088.144</v>
      </c>
      <c r="E328" s="40" t="n">
        <v>0.001</v>
      </c>
    </row>
    <row r="329">
      <c r="A329" s="39" t="inlineStr">
        <is>
          <t>2022-01</t>
        </is>
      </c>
      <c r="B329" s="40" t="n">
        <v>417976.196</v>
      </c>
      <c r="C329" s="40" t="n">
        <v>8792.677</v>
      </c>
      <c r="D329" s="40" t="n">
        <v>8792.677</v>
      </c>
      <c r="E329" s="40" t="n">
        <v>0</v>
      </c>
    </row>
    <row r="330">
      <c r="A330" s="39" t="inlineStr">
        <is>
          <t>2022-02</t>
        </is>
      </c>
      <c r="B330" s="40" t="n">
        <v>402172.008</v>
      </c>
      <c r="C330" s="40" t="n">
        <v>-15804.188</v>
      </c>
      <c r="D330" s="40" t="n">
        <v>-15804.188</v>
      </c>
      <c r="E330" s="40" t="n">
        <v>0</v>
      </c>
    </row>
    <row r="331">
      <c r="A331" s="39" t="inlineStr">
        <is>
          <t>2022-03</t>
        </is>
      </c>
      <c r="B331" s="40" t="n">
        <v>385897.343</v>
      </c>
      <c r="C331" s="40" t="n">
        <v>-16274.665</v>
      </c>
      <c r="D331" s="40" t="n">
        <v>-16274.665</v>
      </c>
      <c r="E331" s="40" t="n">
        <v>0</v>
      </c>
    </row>
    <row r="332">
      <c r="A332" s="39" t="inlineStr">
        <is>
          <t>2022-04</t>
        </is>
      </c>
      <c r="B332" s="40" t="n">
        <v>396510.494</v>
      </c>
      <c r="C332" s="40" t="n">
        <v>10613.151</v>
      </c>
      <c r="D332" s="40" t="n">
        <v>10613.151</v>
      </c>
      <c r="E332" s="40" t="n">
        <v>0</v>
      </c>
    </row>
    <row r="333">
      <c r="A333" s="39" t="inlineStr">
        <is>
          <t>2022-05</t>
        </is>
      </c>
      <c r="B333" s="40" t="n">
        <v>398190.743</v>
      </c>
      <c r="C333" s="40" t="n">
        <v>1680.249</v>
      </c>
      <c r="D333" s="40" t="n">
        <v>1680.249</v>
      </c>
      <c r="E333" s="40" t="n">
        <v>0</v>
      </c>
    </row>
    <row r="334">
      <c r="A334" s="39" t="inlineStr">
        <is>
          <t>2022-06</t>
        </is>
      </c>
      <c r="B334" s="40" t="n">
        <v>407168.9</v>
      </c>
      <c r="C334" s="40" t="n">
        <v>8978.156999999999</v>
      </c>
      <c r="D334" s="40" t="n">
        <v>8978.156000000001</v>
      </c>
      <c r="E334" s="40" t="n">
        <v>-0.001</v>
      </c>
    </row>
    <row r="335">
      <c r="A335" s="39" t="inlineStr">
        <is>
          <t>2022-07</t>
        </is>
      </c>
      <c r="B335" s="40" t="n">
        <v>389598.01</v>
      </c>
      <c r="C335" s="40" t="n">
        <v>-17570.89</v>
      </c>
      <c r="D335" s="40" t="n">
        <v>-17570.889</v>
      </c>
      <c r="E335" s="40" t="n">
        <v>0.001</v>
      </c>
    </row>
    <row r="336">
      <c r="A336" s="39" t="inlineStr">
        <is>
          <t>2022-08</t>
        </is>
      </c>
      <c r="B336" s="40" t="n">
        <v>395354.595</v>
      </c>
      <c r="C336" s="40" t="n">
        <v>5756.585</v>
      </c>
      <c r="D336" s="40" t="n">
        <v>5756.585</v>
      </c>
      <c r="E336" s="40" t="n">
        <v>0</v>
      </c>
    </row>
    <row r="337">
      <c r="A337" s="39" t="inlineStr">
        <is>
          <t>2022-09</t>
        </is>
      </c>
      <c r="B337" s="40" t="n">
        <v>393440.715</v>
      </c>
      <c r="C337" s="40" t="n">
        <v>-1913.88</v>
      </c>
      <c r="D337" s="40" t="n">
        <v>-1913.88</v>
      </c>
      <c r="E337" s="40" t="n">
        <v>0</v>
      </c>
    </row>
    <row r="338">
      <c r="A338" s="39" t="inlineStr">
        <is>
          <t>2022-10</t>
        </is>
      </c>
      <c r="B338" s="40" t="n">
        <v>398583.288</v>
      </c>
      <c r="C338" s="40" t="n">
        <v>5142.573</v>
      </c>
      <c r="D338" s="40" t="n">
        <v>5142.573</v>
      </c>
      <c r="E338" s="40" t="n">
        <v>0</v>
      </c>
    </row>
    <row r="339">
      <c r="A339" s="39" t="inlineStr">
        <is>
          <t>2022-11</t>
        </is>
      </c>
      <c r="B339" s="40" t="n">
        <v>391532.638</v>
      </c>
      <c r="C339" s="40" t="n">
        <v>-7050.65</v>
      </c>
      <c r="D339" s="40" t="n">
        <v>-7050.649</v>
      </c>
      <c r="E339" s="40" t="n">
        <v>0.001</v>
      </c>
    </row>
    <row r="340">
      <c r="A340" s="39" t="inlineStr">
        <is>
          <t>2022-12</t>
        </is>
      </c>
      <c r="B340" s="40" t="n">
        <v>419659.918</v>
      </c>
      <c r="C340" s="40" t="n">
        <v>28127.28</v>
      </c>
      <c r="D340" s="40" t="n">
        <v>28127.28</v>
      </c>
      <c r="E340" s="40" t="n">
        <v>0</v>
      </c>
    </row>
    <row r="341">
      <c r="A341" s="39" t="inlineStr">
        <is>
          <t>2023-01</t>
        </is>
      </c>
      <c r="B341" s="40" t="n">
        <v>413489.78</v>
      </c>
      <c r="C341" s="40" t="n">
        <v>-6170.138</v>
      </c>
      <c r="D341" s="40" t="n">
        <v>-6170.139</v>
      </c>
      <c r="E341" s="40" t="n">
        <v>-0.001</v>
      </c>
    </row>
    <row r="342">
      <c r="A342" s="39" t="inlineStr">
        <is>
          <t>2023-02</t>
        </is>
      </c>
      <c r="B342" s="40" t="n">
        <v>403569.746</v>
      </c>
      <c r="C342" s="40" t="n">
        <v>-9920.034</v>
      </c>
      <c r="D342" s="40" t="n">
        <v>-9920.035</v>
      </c>
      <c r="E342" s="40" t="n">
        <v>-0.001</v>
      </c>
    </row>
    <row r="343">
      <c r="A343" s="39" t="inlineStr">
        <is>
          <t>2023-03</t>
        </is>
      </c>
      <c r="B343" s="40" t="n">
        <v>413314.387</v>
      </c>
      <c r="C343" s="40" t="n">
        <v>9744.641</v>
      </c>
      <c r="D343" s="40" t="n">
        <v>9744.639999999999</v>
      </c>
      <c r="E343" s="40" t="n">
        <v>-0.001</v>
      </c>
    </row>
    <row r="344">
      <c r="A344" s="39" t="inlineStr">
        <is>
          <t>2023-04</t>
        </is>
      </c>
      <c r="B344" s="40" t="n">
        <v>410350.182</v>
      </c>
      <c r="C344" s="40" t="n">
        <v>-2964.205</v>
      </c>
      <c r="D344" s="40" t="n">
        <v>-2964.205</v>
      </c>
      <c r="E344" s="40" t="n">
        <v>0</v>
      </c>
    </row>
    <row r="345">
      <c r="A345" s="39" t="inlineStr">
        <is>
          <t>2023-05</t>
        </is>
      </c>
      <c r="B345" s="40" t="n">
        <v>396348.679</v>
      </c>
      <c r="C345" s="40" t="n">
        <v>-14001.503</v>
      </c>
      <c r="D345" s="40" t="n">
        <v>-14001.504</v>
      </c>
      <c r="E345" s="40" t="n">
        <v>-0.001</v>
      </c>
    </row>
    <row r="346">
      <c r="A346" s="39" t="inlineStr">
        <is>
          <t>2023-06</t>
        </is>
      </c>
      <c r="B346" s="40" t="n">
        <v>403118.875</v>
      </c>
      <c r="C346" s="40" t="n">
        <v>6770.196</v>
      </c>
      <c r="D346" s="40" t="n">
        <v>6770.197</v>
      </c>
      <c r="E346" s="40" t="n">
        <v>0.001</v>
      </c>
    </row>
    <row r="347">
      <c r="A347" s="39" t="inlineStr">
        <is>
          <t>2023-07</t>
        </is>
      </c>
      <c r="B347" s="40" t="n">
        <v>394874.228</v>
      </c>
      <c r="C347" s="40" t="n">
        <v>-8244.647000000001</v>
      </c>
      <c r="D347" s="40" t="n">
        <v>-8244.646000000001</v>
      </c>
      <c r="E347" s="40" t="n">
        <v>0.001</v>
      </c>
    </row>
    <row r="348">
      <c r="A348" s="39" t="inlineStr">
        <is>
          <t>2023-08</t>
        </is>
      </c>
      <c r="B348" s="40" t="n">
        <v>399782.374</v>
      </c>
      <c r="C348" s="40" t="n">
        <v>4908.146</v>
      </c>
      <c r="D348" s="40" t="n">
        <v>4908.144</v>
      </c>
      <c r="E348" s="40" t="n">
        <v>-0.002</v>
      </c>
    </row>
    <row r="349">
      <c r="A349" s="39" t="inlineStr">
        <is>
          <t>2023-09</t>
        </is>
      </c>
      <c r="B349" s="40" t="n">
        <v>404466.849</v>
      </c>
      <c r="C349" s="40" t="n">
        <v>4684.475</v>
      </c>
      <c r="D349" s="40" t="n">
        <v>4684.476</v>
      </c>
      <c r="E349" s="40" t="n">
        <v>0.001</v>
      </c>
    </row>
    <row r="350">
      <c r="A350" s="39" t="inlineStr">
        <is>
          <t>2023-10</t>
        </is>
      </c>
      <c r="B350" s="40" t="n">
        <v>397427.08</v>
      </c>
      <c r="C350" s="40" t="n">
        <v>-7039.769</v>
      </c>
      <c r="D350" s="40" t="n">
        <v>-7039.77</v>
      </c>
      <c r="E350" s="40" t="n">
        <v>-0.001</v>
      </c>
    </row>
    <row r="351">
      <c r="A351" s="39" t="inlineStr">
        <is>
          <t>2023-11</t>
        </is>
      </c>
      <c r="B351" s="40" t="n">
        <v>405550.14</v>
      </c>
      <c r="C351" s="40" t="n">
        <v>8123.06</v>
      </c>
      <c r="D351" s="40" t="n">
        <v>8123.06</v>
      </c>
      <c r="E351" s="40" t="n">
        <v>0</v>
      </c>
    </row>
    <row r="352">
      <c r="A352" s="39" t="inlineStr">
        <is>
          <t>2023-12</t>
        </is>
      </c>
      <c r="B352" s="40" t="n">
        <v>422718.628</v>
      </c>
      <c r="C352" s="40" t="n">
        <v>17168.488</v>
      </c>
      <c r="D352" s="40" t="n">
        <v>17168.487</v>
      </c>
      <c r="E352" s="40" t="n">
        <v>-0.001</v>
      </c>
    </row>
    <row r="353">
      <c r="A353" s="39" t="inlineStr">
        <is>
          <t>2024-01</t>
        </is>
      </c>
      <c r="B353" s="40" t="n">
        <v>404748.204</v>
      </c>
      <c r="C353" s="40" t="n">
        <v>-17970.424</v>
      </c>
      <c r="D353" s="40" t="n">
        <v>-17970.424</v>
      </c>
      <c r="E353" s="40" t="n">
        <v>0</v>
      </c>
    </row>
    <row r="354">
      <c r="A354" s="39" t="inlineStr">
        <is>
          <t>2024-02</t>
        </is>
      </c>
      <c r="B354" s="40" t="n">
        <v>414700.663</v>
      </c>
      <c r="C354" s="40" t="n">
        <v>9952.459000000001</v>
      </c>
      <c r="D354" s="40" t="n">
        <v>9952.459000000001</v>
      </c>
      <c r="E354" s="40" t="n">
        <v>0</v>
      </c>
    </row>
    <row r="355">
      <c r="A355" s="39" t="inlineStr">
        <is>
          <t>2024-03</t>
        </is>
      </c>
      <c r="B355" s="40" t="n">
        <v>417795.886</v>
      </c>
      <c r="C355" s="40" t="n">
        <v>3095.223</v>
      </c>
      <c r="D355" s="40" t="n">
        <v>3095.223</v>
      </c>
      <c r="E355" s="40" t="n">
        <v>0</v>
      </c>
    </row>
    <row r="356">
      <c r="A356" s="39" t="inlineStr">
        <is>
          <t>2024-04</t>
        </is>
      </c>
      <c r="B356" s="40" t="n">
        <v>406260.051</v>
      </c>
      <c r="C356" s="40" t="n">
        <v>-11535.835</v>
      </c>
      <c r="D356" s="40" t="n">
        <v>-11535.836</v>
      </c>
      <c r="E356" s="40" t="n">
        <v>-0.001</v>
      </c>
    </row>
    <row r="357">
      <c r="A357" s="39" t="inlineStr">
        <is>
          <t>2024-05</t>
        </is>
      </c>
      <c r="B357" s="40" t="n">
        <v>436589.996</v>
      </c>
      <c r="C357" s="40" t="n">
        <v>30329.945</v>
      </c>
      <c r="D357" s="40" t="n">
        <v>30329.946</v>
      </c>
      <c r="E357" s="40" t="n">
        <v>0.001</v>
      </c>
    </row>
    <row r="358">
      <c r="A358" s="39" t="inlineStr">
        <is>
          <t>2024-06</t>
        </is>
      </c>
      <c r="B358" s="40" t="n">
        <v>436902.447</v>
      </c>
      <c r="C358" s="40" t="n">
        <v>312.451</v>
      </c>
      <c r="D358" s="40" t="n">
        <v>312.451</v>
      </c>
      <c r="E358" s="40" t="n">
        <v>0</v>
      </c>
    </row>
    <row r="359">
      <c r="A359" s="39" t="inlineStr">
        <is>
          <t>2024-07</t>
        </is>
      </c>
      <c r="B359" s="40" t="n">
        <v>432838.785</v>
      </c>
      <c r="C359" s="40" t="n">
        <v>-4063.662</v>
      </c>
      <c r="D359" s="40" t="n">
        <v>-4063.662</v>
      </c>
      <c r="E359" s="40" t="n">
        <v>0</v>
      </c>
    </row>
    <row r="360">
      <c r="A360" s="39" t="inlineStr">
        <is>
          <t>2024-08</t>
        </is>
      </c>
      <c r="B360" s="40" t="n">
        <v>434608.93</v>
      </c>
      <c r="C360" s="40" t="n">
        <v>1770.145</v>
      </c>
      <c r="D360" s="40" t="n">
        <v>1770.159</v>
      </c>
      <c r="E360" s="40" t="n">
        <v>0.014</v>
      </c>
    </row>
    <row r="361">
      <c r="A361" s="39" t="inlineStr">
        <is>
          <t>2024-09</t>
        </is>
      </c>
      <c r="B361" s="40" t="n">
        <v>429858.545</v>
      </c>
      <c r="C361" s="40" t="n">
        <v>-4750.385</v>
      </c>
      <c r="D361" s="40" t="n">
        <v>-4750.273</v>
      </c>
      <c r="E361" s="40" t="n">
        <v>0.112</v>
      </c>
    </row>
    <row r="362">
      <c r="A362" s="39" t="inlineStr">
        <is>
          <t>2024-10</t>
        </is>
      </c>
      <c r="B362" s="40" t="n">
        <v>437743.879</v>
      </c>
      <c r="C362" s="40" t="n">
        <v>7885.334</v>
      </c>
      <c r="D362" s="40" t="n">
        <v>7885.348</v>
      </c>
      <c r="E362" s="40" t="n">
        <v>0.014</v>
      </c>
    </row>
    <row r="363">
      <c r="A363" s="39" t="inlineStr">
        <is>
          <t>2024-11</t>
        </is>
      </c>
      <c r="B363" s="40" t="n">
        <v>436902.962</v>
      </c>
      <c r="C363" s="40" t="n">
        <v>-840.917</v>
      </c>
      <c r="D363" s="40" t="n">
        <v>-840.9160000000001</v>
      </c>
      <c r="E363" s="40" t="n">
        <v>0.001</v>
      </c>
    </row>
    <row r="364">
      <c r="A364" s="39" t="inlineStr">
        <is>
          <t>2024-12</t>
        </is>
      </c>
      <c r="B364" s="40" t="n">
        <v>451213.588</v>
      </c>
      <c r="C364" s="40" t="n">
        <v>14310.626</v>
      </c>
      <c r="D364" s="40" t="n">
        <v>14310.643</v>
      </c>
      <c r="E364" s="40" t="n">
        <v>0.017</v>
      </c>
    </row>
    <row r="365">
      <c r="A365" s="39" t="inlineStr">
        <is>
          <t>2025-01</t>
        </is>
      </c>
      <c r="B365" s="40" t="n">
        <v>439878.595</v>
      </c>
      <c r="C365" s="40" t="n">
        <v>-11334.993</v>
      </c>
      <c r="D365" s="40" t="n">
        <v>-11334.994</v>
      </c>
      <c r="E365" s="40" t="n">
        <v>-0.001</v>
      </c>
    </row>
    <row r="366">
      <c r="A366" s="39" t="inlineStr">
        <is>
          <t>2025-02</t>
        </is>
      </c>
      <c r="B366" s="40" t="n">
        <v>440922.743</v>
      </c>
      <c r="C366" s="40" t="n">
        <v>1044.148</v>
      </c>
      <c r="D366" s="40" t="n">
        <v>1044.148</v>
      </c>
      <c r="E366" s="40" t="n">
        <v>0</v>
      </c>
    </row>
    <row r="367">
      <c r="A367" s="39" t="inlineStr">
        <is>
          <t>2025-03</t>
        </is>
      </c>
      <c r="B367" s="40" t="n">
        <v>443277.392</v>
      </c>
      <c r="C367" s="40" t="n">
        <v>2354.649</v>
      </c>
      <c r="D367" s="40" t="n">
        <v>2354.649</v>
      </c>
      <c r="E367" s="40" t="n">
        <v>0</v>
      </c>
    </row>
    <row r="368">
      <c r="A368" s="39" t="inlineStr">
        <is>
          <t>2025-04</t>
        </is>
      </c>
      <c r="B368" s="40" t="n">
        <v>435064.403</v>
      </c>
      <c r="C368" s="40" t="n">
        <v>-8212.989</v>
      </c>
      <c r="D368" s="40" t="n">
        <v>-8212.973</v>
      </c>
      <c r="E368" s="40" t="n">
        <v>0.016</v>
      </c>
    </row>
    <row r="369">
      <c r="A369" s="39" t="inlineStr">
        <is>
          <t>2025-05</t>
        </is>
      </c>
      <c r="B369" s="40" t="n">
        <v>452083.273</v>
      </c>
      <c r="C369" s="40" t="n">
        <v>17018.87</v>
      </c>
      <c r="D369" s="40" t="n">
        <v>17018.869</v>
      </c>
      <c r="E369" s="40" t="n">
        <v>-0.001</v>
      </c>
    </row>
    <row r="370">
      <c r="A370" s="39" t="inlineStr">
        <is>
          <t>2025-06</t>
        </is>
      </c>
      <c r="B370" s="40" t="n">
        <v>451010.163</v>
      </c>
      <c r="C370" s="40" t="n">
        <v>-1073.11</v>
      </c>
      <c r="D370" s="40" t="n">
        <v>-1073.113</v>
      </c>
      <c r="E370" s="40" t="n">
        <v>-0.003</v>
      </c>
    </row>
    <row r="371">
      <c r="A371" s="39" t="inlineStr">
        <is>
          <t>2025-07</t>
        </is>
      </c>
      <c r="B371" s="40" t="n">
        <v>443670.744</v>
      </c>
      <c r="C371" s="40" t="n">
        <v>-7339.419</v>
      </c>
      <c r="D371" s="40" t="n">
        <v>-7339.135</v>
      </c>
      <c r="E371" s="40" t="n">
        <v>0.284</v>
      </c>
    </row>
    <row r="372">
      <c r="A372" s="39" t="inlineStr">
        <is>
          <t>2025-08</t>
        </is>
      </c>
      <c r="B372" s="40" t="n">
        <v>438857.418</v>
      </c>
      <c r="C372" s="40" t="n">
        <v>-4813.326</v>
      </c>
      <c r="D372" s="40" t="n">
        <v>-4813.226</v>
      </c>
      <c r="E372" s="40" t="n">
        <v>0.1</v>
      </c>
    </row>
    <row r="373">
      <c r="A373" s="39" t="inlineStr">
        <is>
          <t>2025-09</t>
        </is>
      </c>
      <c r="B373" s="40" t="n">
        <v>429700.158</v>
      </c>
      <c r="C373" s="40" t="n">
        <v>-9157.26</v>
      </c>
      <c r="D373" s="40" t="n">
        <v>-9157.261</v>
      </c>
      <c r="E373" s="40" t="n">
        <v>-0.001</v>
      </c>
    </row>
    <row r="374">
      <c r="A374" s="39" t="inlineStr">
        <is>
          <t>2025-10</t>
        </is>
      </c>
      <c r="B374" s="40" t="n">
        <v>431878.281</v>
      </c>
      <c r="C374" s="40" t="n">
        <v>2178.123</v>
      </c>
      <c r="D374" s="40" t="n">
        <v>2178.247</v>
      </c>
      <c r="E374" s="40" t="n">
        <v>0.124</v>
      </c>
    </row>
    <row r="375">
      <c r="A375" s="39" t="inlineStr">
        <is>
          <t>2025-11</t>
        </is>
      </c>
      <c r="B375" s="40" t="n">
        <v>430543.036</v>
      </c>
      <c r="C375" s="40" t="n">
        <v>-1335.245</v>
      </c>
      <c r="D375" s="40" t="n">
        <v>-1335.245</v>
      </c>
      <c r="E375" s="40" t="n">
        <v>0</v>
      </c>
    </row>
    <row r="376">
      <c r="A376" s="39" t="inlineStr">
        <is>
          <t>2025-12</t>
        </is>
      </c>
      <c r="B376" s="40" t="n">
        <v>447096.654</v>
      </c>
      <c r="C376" s="40" t="n">
        <v>16553.618</v>
      </c>
      <c r="D376" s="40" t="n">
        <v>16553.845</v>
      </c>
      <c r="E376" s="40" t="n">
        <v>0.227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48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5" t="inlineStr">
        <is>
          <t>Contribuição anual dos fatores (R$ milhões)</t>
        </is>
      </c>
    </row>
    <row r="3">
      <c r="A3" s="2" t="inlineStr">
        <is>
          <t>Fator</t>
        </is>
      </c>
      <c r="B3" s="2" t="inlineStr">
        <is>
          <t>1995</t>
        </is>
      </c>
      <c r="C3" s="2" t="inlineStr">
        <is>
          <t>1996</t>
        </is>
      </c>
      <c r="D3" s="2" t="inlineStr">
        <is>
          <t>1997</t>
        </is>
      </c>
      <c r="E3" s="2" t="inlineStr">
        <is>
          <t>1998</t>
        </is>
      </c>
      <c r="F3" s="2" t="inlineStr">
        <is>
          <t>1999</t>
        </is>
      </c>
      <c r="G3" s="2" t="inlineStr">
        <is>
          <t>2000</t>
        </is>
      </c>
      <c r="H3" s="2" t="inlineStr">
        <is>
          <t>2001</t>
        </is>
      </c>
      <c r="I3" s="2" t="inlineStr">
        <is>
          <t>2002</t>
        </is>
      </c>
      <c r="J3" s="2" t="inlineStr">
        <is>
          <t>2003</t>
        </is>
      </c>
      <c r="K3" s="2" t="inlineStr">
        <is>
          <t>2004</t>
        </is>
      </c>
      <c r="L3" s="2" t="inlineStr">
        <is>
          <t>2005</t>
        </is>
      </c>
      <c r="M3" s="2" t="inlineStr">
        <is>
          <t>2006</t>
        </is>
      </c>
      <c r="N3" s="2" t="inlineStr">
        <is>
          <t>2007</t>
        </is>
      </c>
      <c r="O3" s="2" t="inlineStr">
        <is>
          <t>2008</t>
        </is>
      </c>
      <c r="P3" s="2" t="inlineStr">
        <is>
          <t>2009</t>
        </is>
      </c>
      <c r="Q3" s="2" t="inlineStr">
        <is>
          <t>2010</t>
        </is>
      </c>
      <c r="R3" s="2" t="inlineStr">
        <is>
          <t>2011</t>
        </is>
      </c>
      <c r="S3" s="2" t="inlineStr">
        <is>
          <t>2012</t>
        </is>
      </c>
      <c r="T3" s="2" t="inlineStr">
        <is>
          <t>2013</t>
        </is>
      </c>
      <c r="U3" s="2" t="inlineStr">
        <is>
          <t>2014</t>
        </is>
      </c>
      <c r="V3" s="2" t="inlineStr">
        <is>
          <t>2015</t>
        </is>
      </c>
      <c r="W3" s="2" t="inlineStr">
        <is>
          <t>2016</t>
        </is>
      </c>
      <c r="X3" s="2" t="inlineStr">
        <is>
          <t>2017</t>
        </is>
      </c>
      <c r="Y3" s="2" t="inlineStr">
        <is>
          <t>2018</t>
        </is>
      </c>
      <c r="Z3" s="2" t="inlineStr">
        <is>
          <t>2019</t>
        </is>
      </c>
      <c r="AA3" s="2" t="inlineStr">
        <is>
          <t>2020</t>
        </is>
      </c>
      <c r="AB3" s="2" t="inlineStr">
        <is>
          <t>2021</t>
        </is>
      </c>
      <c r="AC3" s="2" t="inlineStr">
        <is>
          <t>2022</t>
        </is>
      </c>
      <c r="AD3" s="2" t="inlineStr">
        <is>
          <t>2023</t>
        </is>
      </c>
      <c r="AE3" s="2" t="inlineStr">
        <is>
          <t>2024</t>
        </is>
      </c>
      <c r="AF3" s="2" t="inlineStr">
        <is>
          <t>2025</t>
        </is>
      </c>
    </row>
    <row r="4">
      <c r="A4" s="37" t="inlineStr">
        <is>
          <t>Tesouro Nacional — Conta única</t>
        </is>
      </c>
      <c r="B4" s="10" t="n">
        <v>-3979.704</v>
      </c>
      <c r="C4" s="10" t="n">
        <v>5513.388</v>
      </c>
      <c r="D4" s="10" t="n">
        <v>-5074.927</v>
      </c>
      <c r="E4" s="10" t="n">
        <v>-15106.533</v>
      </c>
      <c r="F4" s="10" t="n">
        <v>-15563.288</v>
      </c>
      <c r="G4" s="10" t="n">
        <v>-26539.148</v>
      </c>
      <c r="H4" s="10" t="n">
        <v>-11944.926</v>
      </c>
      <c r="I4" s="10" t="n">
        <v>-20483.697</v>
      </c>
      <c r="J4" s="10" t="n">
        <v>-1064.493</v>
      </c>
      <c r="K4" s="10" t="n">
        <v>-48292.47</v>
      </c>
      <c r="L4" s="10" t="n">
        <v>-43007.731</v>
      </c>
      <c r="M4" s="10" t="n">
        <v>-59510.709</v>
      </c>
      <c r="N4" s="10" t="n">
        <v>-55600.882</v>
      </c>
      <c r="O4" s="10" t="n">
        <v>-74312.39599999999</v>
      </c>
      <c r="P4" s="10" t="n">
        <v>-52311.507</v>
      </c>
      <c r="Q4" s="10" t="n">
        <v>-51203.673</v>
      </c>
      <c r="R4" s="10" t="n">
        <v>-125632.863</v>
      </c>
      <c r="S4" s="10" t="n">
        <v>-121648.972</v>
      </c>
      <c r="T4" s="10" t="n">
        <v>-127554.789</v>
      </c>
      <c r="U4" s="10" t="n">
        <v>-668.486</v>
      </c>
      <c r="V4" s="10" t="n">
        <v>59665.808</v>
      </c>
      <c r="W4" s="10" t="n">
        <v>12284.191</v>
      </c>
      <c r="X4" s="10" t="n">
        <v>52132.877</v>
      </c>
      <c r="Y4" s="10" t="n">
        <v>-44486.13</v>
      </c>
      <c r="Z4" s="10" t="n">
        <v>-89301.052</v>
      </c>
      <c r="AA4" s="10" t="n">
        <v>704194.5379999999</v>
      </c>
      <c r="AB4" s="10" t="n">
        <v>-81290.481</v>
      </c>
      <c r="AC4" s="10" t="n">
        <v>-152518.591</v>
      </c>
      <c r="AD4" s="10" t="n">
        <v>206854.972</v>
      </c>
      <c r="AE4" s="10" t="n">
        <v>65831.935</v>
      </c>
      <c r="AF4" s="10" t="n">
        <v>94770.505</v>
      </c>
    </row>
    <row r="5">
      <c r="A5" s="37" t="inlineStr">
        <is>
          <t>Operações com o setor externo</t>
        </is>
      </c>
      <c r="B5" s="10" t="n">
        <v>14900.094</v>
      </c>
      <c r="C5" s="10" t="n">
        <v>9988.201999999999</v>
      </c>
      <c r="D5" s="10" t="n">
        <v>-9049.683000000001</v>
      </c>
      <c r="E5" s="10" t="n">
        <v>-21429.065</v>
      </c>
      <c r="F5" s="10" t="n">
        <v>-14877.571</v>
      </c>
      <c r="G5" s="10" t="n">
        <v>4402.641</v>
      </c>
      <c r="H5" s="10" t="n">
        <v>-18572.367</v>
      </c>
      <c r="I5" s="10" t="n">
        <v>-26426.605</v>
      </c>
      <c r="J5" s="10" t="n">
        <v>643.224</v>
      </c>
      <c r="K5" s="10" t="n">
        <v>14556.008</v>
      </c>
      <c r="L5" s="10" t="n">
        <v>52394.883</v>
      </c>
      <c r="M5" s="10" t="n">
        <v>74368.942</v>
      </c>
      <c r="N5" s="10" t="n">
        <v>155390.627</v>
      </c>
      <c r="O5" s="10" t="n">
        <v>-12124.211</v>
      </c>
      <c r="P5" s="10" t="n">
        <v>62936.723</v>
      </c>
      <c r="Q5" s="10" t="n">
        <v>75552.632</v>
      </c>
      <c r="R5" s="10" t="n">
        <v>85156.228</v>
      </c>
      <c r="S5" s="10" t="n">
        <v>25896.973</v>
      </c>
      <c r="T5" s="10" t="n">
        <v>-22428.624</v>
      </c>
      <c r="U5" s="10" t="n">
        <v>16274.839</v>
      </c>
      <c r="V5" s="10" t="n">
        <v>-15037.71</v>
      </c>
      <c r="W5" s="10" t="n">
        <v>32532.733</v>
      </c>
      <c r="X5" s="10" t="n">
        <v>1396.743</v>
      </c>
      <c r="Y5" s="10" t="n">
        <v>-17348.77</v>
      </c>
      <c r="Z5" s="10" t="n">
        <v>-141168.328</v>
      </c>
      <c r="AA5" s="10" t="n">
        <v>-117733.553</v>
      </c>
      <c r="AB5" s="10" t="n">
        <v>-36630.77</v>
      </c>
      <c r="AC5" s="10" t="n">
        <v>-56620.783</v>
      </c>
      <c r="AD5" s="10" t="n">
        <v>78236.91</v>
      </c>
      <c r="AE5" s="10" t="n">
        <v>-212477.334</v>
      </c>
      <c r="AF5" s="10" t="n">
        <v>8357.906000000001</v>
      </c>
    </row>
    <row r="6">
      <c r="A6" s="37" t="inlineStr">
        <is>
          <t>Operações com títulos públicos federais — Total</t>
        </is>
      </c>
      <c r="B6" s="10" t="n">
        <v>-14604.987</v>
      </c>
      <c r="C6" s="10" t="n">
        <v>-29670.499</v>
      </c>
      <c r="D6" s="10" t="n">
        <v>22158.7</v>
      </c>
      <c r="E6" s="10" t="n">
        <v>27854.801</v>
      </c>
      <c r="F6" s="10" t="n">
        <v>34925.161</v>
      </c>
      <c r="G6" s="10" t="n">
        <v>21398.839</v>
      </c>
      <c r="H6" s="10" t="n">
        <v>41318.272</v>
      </c>
      <c r="I6" s="10" t="n">
        <v>90722.091</v>
      </c>
      <c r="J6" s="10" t="n">
        <v>11180.802</v>
      </c>
      <c r="K6" s="10" t="n">
        <v>57838.483</v>
      </c>
      <c r="L6" s="10" t="n">
        <v>2808.482</v>
      </c>
      <c r="M6" s="10" t="n">
        <v>-686.574</v>
      </c>
      <c r="N6" s="10" t="n">
        <v>-73974.527</v>
      </c>
      <c r="O6" s="10" t="n">
        <v>34058.554</v>
      </c>
      <c r="P6" s="10" t="n">
        <v>11280.602</v>
      </c>
      <c r="Q6" s="10" t="n">
        <v>249513.458</v>
      </c>
      <c r="R6" s="10" t="n">
        <v>70196.20299999999</v>
      </c>
      <c r="S6" s="10" t="n">
        <v>5653.172</v>
      </c>
      <c r="T6" s="10" t="n">
        <v>197242.065</v>
      </c>
      <c r="U6" s="10" t="n">
        <v>-76307.204</v>
      </c>
      <c r="V6" s="10" t="n">
        <v>-124016.063</v>
      </c>
      <c r="W6" s="10" t="n">
        <v>32267.88</v>
      </c>
      <c r="X6" s="10" t="n">
        <v>-26792.966</v>
      </c>
      <c r="Y6" s="10" t="n">
        <v>35093.592</v>
      </c>
      <c r="Z6" s="10" t="n">
        <v>227324.959</v>
      </c>
      <c r="AA6" s="10" t="n">
        <v>-630037.433</v>
      </c>
      <c r="AB6" s="10" t="n">
        <v>182431.271</v>
      </c>
      <c r="AC6" s="10" t="n">
        <v>437174.227</v>
      </c>
      <c r="AD6" s="10" t="n">
        <v>-56588.088</v>
      </c>
      <c r="AE6" s="10" t="n">
        <v>158704.826</v>
      </c>
      <c r="AF6" s="10" t="n">
        <v>54036.513</v>
      </c>
    </row>
    <row r="7">
      <c r="A7" s="37" t="inlineStr">
        <is>
          <t>Depósitos de instituições financeiras</t>
        </is>
      </c>
      <c r="B7" s="10" t="n">
        <v>4075.931</v>
      </c>
      <c r="C7" s="10" t="n">
        <v>-2146.231</v>
      </c>
      <c r="D7" s="10" t="n">
        <v>-8790.445</v>
      </c>
      <c r="E7" s="10" t="n">
        <v>20282.878</v>
      </c>
      <c r="F7" s="10" t="n">
        <v>2114.291</v>
      </c>
      <c r="G7" s="10" t="n">
        <v>1478.559</v>
      </c>
      <c r="H7" s="10" t="n">
        <v>-1806.911</v>
      </c>
      <c r="I7" s="10" t="n">
        <v>-33769.655</v>
      </c>
      <c r="J7" s="10" t="n">
        <v>6729.147</v>
      </c>
      <c r="K7" s="10" t="n">
        <v>-2400.391</v>
      </c>
      <c r="L7" s="10" t="n">
        <v>2373.784</v>
      </c>
      <c r="M7" s="10" t="n">
        <v>-764.37</v>
      </c>
      <c r="N7" s="10" t="n">
        <v>-10600.939</v>
      </c>
      <c r="O7" s="10" t="n">
        <v>57041.22</v>
      </c>
      <c r="P7" s="10" t="n">
        <v>-3425.469</v>
      </c>
      <c r="Q7" s="10" t="n">
        <v>-236911.071</v>
      </c>
      <c r="R7" s="10" t="n">
        <v>-24388.014</v>
      </c>
      <c r="S7" s="10" t="n">
        <v>118682.701</v>
      </c>
      <c r="T7" s="10" t="n">
        <v>-19903.346</v>
      </c>
      <c r="U7" s="10" t="n">
        <v>56163.369</v>
      </c>
      <c r="V7" s="10" t="n">
        <v>-24740.332</v>
      </c>
      <c r="W7" s="10" t="n">
        <v>6054.528</v>
      </c>
      <c r="X7" s="10" t="n">
        <v>867.627</v>
      </c>
      <c r="Y7" s="10" t="n">
        <v>13987.567</v>
      </c>
      <c r="Z7" s="10" t="n">
        <v>16690.766</v>
      </c>
      <c r="AA7" s="10" t="n">
        <v>69829.095</v>
      </c>
      <c r="AB7" s="10" t="n">
        <v>-26059.891</v>
      </c>
      <c r="AC7" s="10" t="n">
        <v>-54168.5</v>
      </c>
      <c r="AD7" s="10" t="n">
        <v>-45370.899</v>
      </c>
      <c r="AE7" s="10" t="n">
        <v>-706.95</v>
      </c>
      <c r="AF7" s="10" t="n">
        <v>45376.981</v>
      </c>
    </row>
    <row r="8">
      <c r="A8" s="37" t="inlineStr">
        <is>
          <t>Depósitos de fundos de investimento</t>
        </is>
      </c>
      <c r="B8" s="10" t="n">
        <v>-1708.048</v>
      </c>
      <c r="C8" s="10" t="n">
        <v>-6479.729</v>
      </c>
      <c r="D8" s="10" t="n">
        <v>7906.155</v>
      </c>
      <c r="E8" s="10" t="n">
        <v>-819.634</v>
      </c>
      <c r="F8" s="10" t="n">
        <v>4545.796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0</v>
      </c>
      <c r="Q8" s="10" t="n">
        <v>0</v>
      </c>
      <c r="R8" s="10" t="n">
        <v>0</v>
      </c>
      <c r="S8" s="10" t="n">
        <v>0</v>
      </c>
      <c r="T8" s="10" t="n">
        <v>0</v>
      </c>
      <c r="U8" s="10" t="n">
        <v>0</v>
      </c>
      <c r="V8" s="10" t="n">
        <v>0</v>
      </c>
      <c r="W8" s="10" t="n">
        <v>0</v>
      </c>
      <c r="X8" s="10" t="n">
        <v>0</v>
      </c>
      <c r="Y8" s="10" t="n">
        <v>0</v>
      </c>
      <c r="Z8" s="10" t="n">
        <v>0</v>
      </c>
      <c r="AA8" s="10" t="n">
        <v>0</v>
      </c>
      <c r="AB8" s="10" t="n">
        <v>0</v>
      </c>
      <c r="AC8" s="10" t="n">
        <v>0</v>
      </c>
      <c r="AD8" s="10" t="n">
        <v>0</v>
      </c>
      <c r="AE8" s="10" t="n">
        <v>0</v>
      </c>
      <c r="AF8" s="10" t="n">
        <v>0</v>
      </c>
    </row>
    <row r="9">
      <c r="A9" s="37" t="inlineStr">
        <is>
          <t>Assistência financeira</t>
        </is>
      </c>
      <c r="B9" s="10" t="n">
        <v>-3272.506</v>
      </c>
      <c r="C9" s="10" t="n">
        <v>2149.341</v>
      </c>
      <c r="D9" s="10" t="n">
        <v>-3251.477</v>
      </c>
      <c r="E9" s="10" t="n">
        <v>-3427.004</v>
      </c>
      <c r="F9" s="10" t="n">
        <v>-1726.247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  <c r="Q9" s="10" t="n">
        <v>0</v>
      </c>
      <c r="R9" s="10" t="n">
        <v>0</v>
      </c>
      <c r="S9" s="10" t="n">
        <v>0</v>
      </c>
      <c r="T9" s="10" t="n">
        <v>0</v>
      </c>
      <c r="U9" s="10" t="n">
        <v>0</v>
      </c>
      <c r="V9" s="10" t="n">
        <v>0</v>
      </c>
      <c r="W9" s="10" t="n">
        <v>0</v>
      </c>
      <c r="X9" s="10" t="n">
        <v>0</v>
      </c>
      <c r="Y9" s="10" t="n">
        <v>0</v>
      </c>
      <c r="Z9" s="10" t="n">
        <v>0</v>
      </c>
      <c r="AA9" s="10" t="n">
        <v>0</v>
      </c>
      <c r="AB9" s="10" t="n">
        <v>0</v>
      </c>
      <c r="AC9" s="10" t="n">
        <v>0</v>
      </c>
      <c r="AD9" s="10" t="n">
        <v>0</v>
      </c>
      <c r="AE9" s="10" t="n">
        <v>0</v>
      </c>
      <c r="AF9" s="10" t="n">
        <v>0</v>
      </c>
    </row>
    <row r="10">
      <c r="A10" s="37" t="inlineStr">
        <is>
          <t>PROER</t>
        </is>
      </c>
      <c r="B10" s="10" t="n">
        <v>1418</v>
      </c>
      <c r="C10" s="10" t="n">
        <v>8732.473</v>
      </c>
      <c r="D10" s="10" t="n">
        <v>5466.693</v>
      </c>
      <c r="E10" s="10" t="n">
        <v>-200.948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  <c r="P10" s="10" t="n">
        <v>0</v>
      </c>
      <c r="Q10" s="10" t="n">
        <v>0</v>
      </c>
      <c r="R10" s="10" t="n">
        <v>0</v>
      </c>
      <c r="S10" s="10" t="n">
        <v>0</v>
      </c>
      <c r="T10" s="10" t="n">
        <v>0</v>
      </c>
      <c r="U10" s="10" t="n">
        <v>0</v>
      </c>
      <c r="V10" s="10" t="n">
        <v>0</v>
      </c>
      <c r="W10" s="10" t="n">
        <v>0</v>
      </c>
      <c r="X10" s="10" t="n">
        <v>0</v>
      </c>
      <c r="Y10" s="10" t="n">
        <v>0</v>
      </c>
      <c r="Z10" s="10" t="n">
        <v>0</v>
      </c>
      <c r="AA10" s="10" t="n">
        <v>0</v>
      </c>
      <c r="AB10" s="10" t="n">
        <v>0</v>
      </c>
      <c r="AC10" s="10" t="n">
        <v>0</v>
      </c>
      <c r="AD10" s="10" t="n">
        <v>0</v>
      </c>
      <c r="AE10" s="10" t="n">
        <v>0</v>
      </c>
      <c r="AF10" s="10" t="n">
        <v>0</v>
      </c>
    </row>
    <row r="11">
      <c r="A11" s="37" t="inlineStr">
        <is>
          <t>PROES</t>
        </is>
      </c>
      <c r="B11" s="10" t="n">
        <v>0</v>
      </c>
      <c r="C11" s="10" t="n">
        <v>0</v>
      </c>
      <c r="D11" s="10" t="n">
        <v>953.876</v>
      </c>
      <c r="E11" s="10" t="n">
        <v>16.96</v>
      </c>
      <c r="F11" s="10" t="n">
        <v>-212.208</v>
      </c>
      <c r="G11" s="10" t="n">
        <v>-22.603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0</v>
      </c>
      <c r="N11" s="10" t="n">
        <v>0</v>
      </c>
      <c r="O11" s="10" t="n">
        <v>0</v>
      </c>
      <c r="P11" s="10" t="n">
        <v>0</v>
      </c>
      <c r="Q11" s="10" t="n">
        <v>0</v>
      </c>
      <c r="R11" s="10" t="n">
        <v>0</v>
      </c>
      <c r="S11" s="10" t="n">
        <v>0</v>
      </c>
      <c r="T11" s="10" t="n">
        <v>0</v>
      </c>
      <c r="U11" s="10" t="n">
        <v>0</v>
      </c>
      <c r="V11" s="10" t="n">
        <v>0</v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10" t="n">
        <v>0</v>
      </c>
      <c r="AC11" s="10" t="n">
        <v>0</v>
      </c>
      <c r="AD11" s="10" t="n">
        <v>0</v>
      </c>
      <c r="AE11" s="10" t="n">
        <v>0</v>
      </c>
      <c r="AF11" s="10" t="n">
        <v>0</v>
      </c>
    </row>
    <row r="12">
      <c r="A12" s="37" t="inlineStr">
        <is>
          <t>Redesconto do Banco Central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-614.971</v>
      </c>
      <c r="H12" s="10" t="n">
        <v>0</v>
      </c>
      <c r="I12" s="10" t="n">
        <v>400.375</v>
      </c>
      <c r="J12" s="10" t="n">
        <v>2.247</v>
      </c>
      <c r="K12" s="10" t="n">
        <v>-7.14</v>
      </c>
      <c r="L12" s="10" t="n">
        <v>-3.343</v>
      </c>
      <c r="M12" s="10" t="n">
        <v>-1.476</v>
      </c>
      <c r="N12" s="10" t="n">
        <v>-3.017</v>
      </c>
      <c r="O12" s="10" t="n">
        <v>-1.073</v>
      </c>
      <c r="P12" s="10" t="n">
        <v>-1.181</v>
      </c>
      <c r="Q12" s="10" t="n">
        <v>-0.539</v>
      </c>
      <c r="R12" s="10" t="n">
        <v>-0.5600000000000001</v>
      </c>
      <c r="S12" s="10" t="n">
        <v>45.943</v>
      </c>
      <c r="T12" s="10" t="n">
        <v>-1.675</v>
      </c>
      <c r="U12" s="10" t="n">
        <v>-0.045</v>
      </c>
      <c r="V12" s="10" t="n">
        <v>-0.593</v>
      </c>
      <c r="W12" s="10" t="n">
        <v>-3.179</v>
      </c>
      <c r="X12" s="10" t="n">
        <v>-0.181</v>
      </c>
      <c r="Y12" s="10" t="n">
        <v>13.2</v>
      </c>
      <c r="Z12" s="10" t="n">
        <v>-14.549</v>
      </c>
      <c r="AA12" s="10" t="n">
        <v>3.485</v>
      </c>
      <c r="AB12" s="10" t="n">
        <v>44.99</v>
      </c>
      <c r="AC12" s="10" t="n">
        <v>-27.398</v>
      </c>
      <c r="AD12" s="10" t="n">
        <v>-29.715</v>
      </c>
      <c r="AE12" s="10" t="n">
        <v>-0.788</v>
      </c>
      <c r="AF12" s="10" t="n">
        <v>0</v>
      </c>
    </row>
    <row r="13">
      <c r="A13" s="37" t="inlineStr">
        <is>
          <t>Operações com derivativos — ajustes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10942.004</v>
      </c>
      <c r="J13" s="10" t="n">
        <v>-15632.065</v>
      </c>
      <c r="K13" s="10" t="n">
        <v>-6032.014</v>
      </c>
      <c r="L13" s="10" t="n">
        <v>-2684.423</v>
      </c>
      <c r="M13" s="10" t="n">
        <v>5436.454</v>
      </c>
      <c r="N13" s="10" t="n">
        <v>8812.156000000001</v>
      </c>
      <c r="O13" s="10" t="n">
        <v>-4801.25</v>
      </c>
      <c r="P13" s="10" t="n">
        <v>-3198.916</v>
      </c>
      <c r="Q13" s="10" t="n">
        <v>0</v>
      </c>
      <c r="R13" s="10" t="n">
        <v>-705.683</v>
      </c>
      <c r="S13" s="10" t="n">
        <v>-1100.801</v>
      </c>
      <c r="T13" s="10" t="n">
        <v>1314.564</v>
      </c>
      <c r="U13" s="10" t="n">
        <v>17329.053</v>
      </c>
      <c r="V13" s="10" t="n">
        <v>89657.15300000001</v>
      </c>
      <c r="W13" s="10" t="n">
        <v>-75562.37300000001</v>
      </c>
      <c r="X13" s="10" t="n">
        <v>-7032.535</v>
      </c>
      <c r="Y13" s="10" t="n">
        <v>15125.016</v>
      </c>
      <c r="Z13" s="10" t="n">
        <v>7639.551</v>
      </c>
      <c r="AA13" s="10" t="n">
        <v>40800.821</v>
      </c>
      <c r="AB13" s="10" t="n">
        <v>22323.949</v>
      </c>
      <c r="AC13" s="10" t="n">
        <v>-92265.39999999999</v>
      </c>
      <c r="AD13" s="10" t="n">
        <v>-70871.662</v>
      </c>
      <c r="AE13" s="10" t="n">
        <v>115930.245</v>
      </c>
      <c r="AF13" s="10" t="n">
        <v>-105895.906</v>
      </c>
    </row>
    <row r="14">
      <c r="A14" s="37" t="inlineStr">
        <is>
          <t>Linhas temporárias especiais de liquidez</t>
        </is>
      </c>
      <c r="B14" s="10" t="n">
        <v>0</v>
      </c>
      <c r="C14" s="10" t="n">
        <v>0</v>
      </c>
      <c r="D14" s="10" t="n">
        <v>0</v>
      </c>
      <c r="E14" s="10" t="n">
        <v>0</v>
      </c>
      <c r="F14" s="10" t="n">
        <v>0</v>
      </c>
      <c r="G14" s="10" t="n">
        <v>0</v>
      </c>
      <c r="H14" s="10" t="n">
        <v>0</v>
      </c>
      <c r="I14" s="10" t="n">
        <v>0</v>
      </c>
      <c r="J14" s="10" t="n">
        <v>0</v>
      </c>
      <c r="K14" s="10" t="n">
        <v>0</v>
      </c>
      <c r="L14" s="10" t="n">
        <v>0</v>
      </c>
      <c r="M14" s="10" t="n">
        <v>0</v>
      </c>
      <c r="N14" s="10" t="n">
        <v>0</v>
      </c>
      <c r="O14" s="10" t="n">
        <v>0</v>
      </c>
      <c r="P14" s="10" t="n">
        <v>0</v>
      </c>
      <c r="Q14" s="10" t="n">
        <v>0</v>
      </c>
      <c r="R14" s="10" t="n">
        <v>0</v>
      </c>
      <c r="S14" s="10" t="n">
        <v>0</v>
      </c>
      <c r="T14" s="10" t="n">
        <v>0</v>
      </c>
      <c r="U14" s="10" t="n">
        <v>0</v>
      </c>
      <c r="V14" s="10" t="n">
        <v>0</v>
      </c>
      <c r="W14" s="10" t="n">
        <v>0</v>
      </c>
      <c r="X14" s="10" t="n">
        <v>0</v>
      </c>
      <c r="Y14" s="10" t="n">
        <v>0</v>
      </c>
      <c r="Z14" s="10" t="n">
        <v>0</v>
      </c>
      <c r="AA14" s="10" t="n">
        <v>67236.04399999999</v>
      </c>
      <c r="AB14" s="10" t="n">
        <v>-52769.578</v>
      </c>
      <c r="AC14" s="10" t="n">
        <v>9097.299000000001</v>
      </c>
      <c r="AD14" s="10" t="n">
        <v>-33737.198</v>
      </c>
      <c r="AE14" s="10" t="n">
        <v>-0.021</v>
      </c>
      <c r="AF14" s="10" t="n">
        <v>-0.024</v>
      </c>
    </row>
    <row r="15">
      <c r="A15" s="37" t="inlineStr">
        <is>
          <t>Autoridade Monetária — Outras operações</t>
        </is>
      </c>
      <c r="B15" s="10" t="n">
        <v>2977.769</v>
      </c>
      <c r="C15" s="10" t="n">
        <v>10027.648</v>
      </c>
      <c r="D15" s="10" t="n">
        <v>1698.923</v>
      </c>
      <c r="E15" s="10" t="n">
        <v>179.863</v>
      </c>
      <c r="F15" s="10" t="n">
        <v>32.201</v>
      </c>
      <c r="G15" s="10" t="n">
        <v>-839.2619999999999</v>
      </c>
      <c r="H15" s="10" t="n">
        <v>-3424.281</v>
      </c>
      <c r="I15" s="10" t="n">
        <v>-1338.211</v>
      </c>
      <c r="J15" s="10" t="n">
        <v>-1941.998</v>
      </c>
      <c r="K15" s="10" t="n">
        <v>-148.935</v>
      </c>
      <c r="L15" s="10" t="n">
        <v>632.9059999999999</v>
      </c>
      <c r="M15" s="10" t="n">
        <v>1012.499</v>
      </c>
      <c r="N15" s="10" t="n">
        <v>1491.448</v>
      </c>
      <c r="O15" s="10" t="n">
        <v>1071.994</v>
      </c>
      <c r="P15" s="10" t="n">
        <v>3242.878</v>
      </c>
      <c r="Q15" s="10" t="n">
        <v>3829.68</v>
      </c>
      <c r="R15" s="10" t="n">
        <v>2756.678</v>
      </c>
      <c r="S15" s="10" t="n">
        <v>-8392.875</v>
      </c>
      <c r="T15" s="10" t="n">
        <v>-12532.941</v>
      </c>
      <c r="U15" s="10" t="n">
        <v>1227.406</v>
      </c>
      <c r="V15" s="10" t="n">
        <v>6233.098</v>
      </c>
      <c r="W15" s="10" t="n">
        <v>7424.617</v>
      </c>
      <c r="X15" s="10" t="n">
        <v>5896.818</v>
      </c>
      <c r="Y15" s="10" t="n">
        <v>2909.758</v>
      </c>
      <c r="Z15" s="10" t="n">
        <v>-6634.019</v>
      </c>
      <c r="AA15" s="10" t="n">
        <v>-19343.055</v>
      </c>
      <c r="AB15" s="10" t="n">
        <v>-30402.627</v>
      </c>
      <c r="AC15" s="10" t="n">
        <v>-80194.454</v>
      </c>
      <c r="AD15" s="10" t="n">
        <v>-75435.61500000001</v>
      </c>
      <c r="AE15" s="10" t="n">
        <v>-98786.795</v>
      </c>
      <c r="AF15" s="10" t="n">
        <v>-100762.164</v>
      </c>
    </row>
    <row r="17">
      <c r="A17" s="43" t="inlineStr">
        <is>
          <t>Ano</t>
        </is>
      </c>
      <c r="B17" s="44" t="inlineStr">
        <is>
          <t>Tesouro Nacional — Conta única</t>
        </is>
      </c>
      <c r="C17" s="44" t="inlineStr">
        <is>
          <t>Operações com o setor externo</t>
        </is>
      </c>
      <c r="D17" s="44" t="inlineStr">
        <is>
          <t>Operações com títulos públicos federais — Total</t>
        </is>
      </c>
      <c r="E17" s="44" t="inlineStr">
        <is>
          <t>Depósitos de instituições financeiras</t>
        </is>
      </c>
      <c r="F17" s="44" t="inlineStr">
        <is>
          <t>Depósitos de fundos de investimento</t>
        </is>
      </c>
      <c r="G17" s="44" t="inlineStr">
        <is>
          <t>Assistência financeira</t>
        </is>
      </c>
      <c r="H17" s="44" t="inlineStr">
        <is>
          <t>PROER</t>
        </is>
      </c>
      <c r="I17" s="44" t="inlineStr">
        <is>
          <t>PROES</t>
        </is>
      </c>
      <c r="J17" s="44" t="inlineStr">
        <is>
          <t>Redesconto do Banco Central</t>
        </is>
      </c>
      <c r="K17" s="44" t="inlineStr">
        <is>
          <t>Operações com derivativos — ajustes</t>
        </is>
      </c>
      <c r="L17" s="44" t="inlineStr">
        <is>
          <t>Linhas temporárias especiais de liquidez</t>
        </is>
      </c>
      <c r="M17" s="44" t="inlineStr">
        <is>
          <t>Autoridade Monetária — Outras operações</t>
        </is>
      </c>
    </row>
    <row r="18">
      <c r="A18" t="n">
        <v>1995</v>
      </c>
      <c r="B18" s="45" t="n">
        <v>-3979.704</v>
      </c>
      <c r="C18" s="45" t="n">
        <v>14900.094</v>
      </c>
      <c r="D18" s="45" t="n">
        <v>-14604.987</v>
      </c>
      <c r="E18" s="45" t="n">
        <v>4075.931</v>
      </c>
      <c r="F18" s="45" t="n">
        <v>-1708.048</v>
      </c>
      <c r="G18" s="45" t="n">
        <v>-3272.506</v>
      </c>
      <c r="H18" s="45" t="n">
        <v>1418</v>
      </c>
      <c r="I18" s="45" t="n">
        <v>0</v>
      </c>
      <c r="J18" s="45" t="n">
        <v>0</v>
      </c>
      <c r="K18" s="45" t="n">
        <v>0</v>
      </c>
      <c r="L18" s="45" t="n">
        <v>0</v>
      </c>
      <c r="M18" s="45" t="n">
        <v>2977.769</v>
      </c>
    </row>
    <row r="19">
      <c r="A19" t="n">
        <v>1996</v>
      </c>
      <c r="B19" s="45" t="n">
        <v>5513.388</v>
      </c>
      <c r="C19" s="45" t="n">
        <v>9988.201999999999</v>
      </c>
      <c r="D19" s="45" t="n">
        <v>-29670.499</v>
      </c>
      <c r="E19" s="45" t="n">
        <v>-2146.231</v>
      </c>
      <c r="F19" s="45" t="n">
        <v>-6479.729</v>
      </c>
      <c r="G19" s="45" t="n">
        <v>2149.341</v>
      </c>
      <c r="H19" s="45" t="n">
        <v>8732.473</v>
      </c>
      <c r="I19" s="45" t="n">
        <v>0</v>
      </c>
      <c r="J19" s="45" t="n">
        <v>0</v>
      </c>
      <c r="K19" s="45" t="n">
        <v>0</v>
      </c>
      <c r="L19" s="45" t="n">
        <v>0</v>
      </c>
      <c r="M19" s="45" t="n">
        <v>10027.648</v>
      </c>
    </row>
    <row r="20">
      <c r="A20" t="n">
        <v>1997</v>
      </c>
      <c r="B20" s="45" t="n">
        <v>-5074.927</v>
      </c>
      <c r="C20" s="45" t="n">
        <v>-9049.683000000001</v>
      </c>
      <c r="D20" s="45" t="n">
        <v>22158.7</v>
      </c>
      <c r="E20" s="45" t="n">
        <v>-8790.445</v>
      </c>
      <c r="F20" s="45" t="n">
        <v>7906.155</v>
      </c>
      <c r="G20" s="45" t="n">
        <v>-3251.477</v>
      </c>
      <c r="H20" s="45" t="n">
        <v>5466.693</v>
      </c>
      <c r="I20" s="45" t="n">
        <v>953.876</v>
      </c>
      <c r="J20" s="45" t="n">
        <v>0</v>
      </c>
      <c r="K20" s="45" t="n">
        <v>0</v>
      </c>
      <c r="L20" s="45" t="n">
        <v>0</v>
      </c>
      <c r="M20" s="45" t="n">
        <v>1698.923</v>
      </c>
    </row>
    <row r="21">
      <c r="A21" t="n">
        <v>1998</v>
      </c>
      <c r="B21" s="45" t="n">
        <v>-15106.533</v>
      </c>
      <c r="C21" s="45" t="n">
        <v>-21429.065</v>
      </c>
      <c r="D21" s="45" t="n">
        <v>27854.801</v>
      </c>
      <c r="E21" s="45" t="n">
        <v>20282.878</v>
      </c>
      <c r="F21" s="45" t="n">
        <v>-819.634</v>
      </c>
      <c r="G21" s="45" t="n">
        <v>-3427.004</v>
      </c>
      <c r="H21" s="45" t="n">
        <v>-200.948</v>
      </c>
      <c r="I21" s="45" t="n">
        <v>16.96</v>
      </c>
      <c r="J21" s="45" t="n">
        <v>0</v>
      </c>
      <c r="K21" s="45" t="n">
        <v>0</v>
      </c>
      <c r="L21" s="45" t="n">
        <v>0</v>
      </c>
      <c r="M21" s="45" t="n">
        <v>179.863</v>
      </c>
    </row>
    <row r="22">
      <c r="A22" t="n">
        <v>1999</v>
      </c>
      <c r="B22" s="45" t="n">
        <v>-15563.288</v>
      </c>
      <c r="C22" s="45" t="n">
        <v>-14877.571</v>
      </c>
      <c r="D22" s="45" t="n">
        <v>34925.161</v>
      </c>
      <c r="E22" s="45" t="n">
        <v>2114.291</v>
      </c>
      <c r="F22" s="45" t="n">
        <v>4545.796</v>
      </c>
      <c r="G22" s="45" t="n">
        <v>-1726.247</v>
      </c>
      <c r="H22" s="45" t="n">
        <v>0</v>
      </c>
      <c r="I22" s="45" t="n">
        <v>-212.208</v>
      </c>
      <c r="J22" s="45" t="n">
        <v>0</v>
      </c>
      <c r="K22" s="45" t="n">
        <v>0</v>
      </c>
      <c r="L22" s="45" t="n">
        <v>0</v>
      </c>
      <c r="M22" s="45" t="n">
        <v>32.201</v>
      </c>
    </row>
    <row r="23">
      <c r="A23" t="n">
        <v>2000</v>
      </c>
      <c r="B23" s="45" t="n">
        <v>-26539.148</v>
      </c>
      <c r="C23" s="45" t="n">
        <v>4402.641</v>
      </c>
      <c r="D23" s="45" t="n">
        <v>21398.839</v>
      </c>
      <c r="E23" s="45" t="n">
        <v>1478.559</v>
      </c>
      <c r="F23" s="45" t="n">
        <v>0</v>
      </c>
      <c r="G23" s="45" t="n">
        <v>0</v>
      </c>
      <c r="H23" s="45" t="n">
        <v>0</v>
      </c>
      <c r="I23" s="45" t="n">
        <v>-22.603</v>
      </c>
      <c r="J23" s="45" t="n">
        <v>-614.971</v>
      </c>
      <c r="K23" s="45" t="n">
        <v>0</v>
      </c>
      <c r="L23" s="45" t="n">
        <v>0</v>
      </c>
      <c r="M23" s="45" t="n">
        <v>-839.2619999999999</v>
      </c>
    </row>
    <row r="24">
      <c r="A24" t="n">
        <v>2001</v>
      </c>
      <c r="B24" s="45" t="n">
        <v>-11944.926</v>
      </c>
      <c r="C24" s="45" t="n">
        <v>-18572.367</v>
      </c>
      <c r="D24" s="45" t="n">
        <v>41318.272</v>
      </c>
      <c r="E24" s="45" t="n">
        <v>-1806.911</v>
      </c>
      <c r="F24" s="45" t="n">
        <v>0</v>
      </c>
      <c r="G24" s="45" t="n">
        <v>0</v>
      </c>
      <c r="H24" s="45" t="n">
        <v>0</v>
      </c>
      <c r="I24" s="45" t="n">
        <v>0</v>
      </c>
      <c r="J24" s="45" t="n">
        <v>0</v>
      </c>
      <c r="K24" s="45" t="n">
        <v>0</v>
      </c>
      <c r="L24" s="45" t="n">
        <v>0</v>
      </c>
      <c r="M24" s="45" t="n">
        <v>-3424.281</v>
      </c>
    </row>
    <row r="25">
      <c r="A25" t="n">
        <v>2002</v>
      </c>
      <c r="B25" s="45" t="n">
        <v>-20483.697</v>
      </c>
      <c r="C25" s="45" t="n">
        <v>-26426.605</v>
      </c>
      <c r="D25" s="45" t="n">
        <v>90722.091</v>
      </c>
      <c r="E25" s="45" t="n">
        <v>-33769.655</v>
      </c>
      <c r="F25" s="45" t="n">
        <v>0</v>
      </c>
      <c r="G25" s="45" t="n">
        <v>0</v>
      </c>
      <c r="H25" s="45" t="n">
        <v>0</v>
      </c>
      <c r="I25" s="45" t="n">
        <v>0</v>
      </c>
      <c r="J25" s="45" t="n">
        <v>400.375</v>
      </c>
      <c r="K25" s="45" t="n">
        <v>10942.004</v>
      </c>
      <c r="L25" s="45" t="n">
        <v>0</v>
      </c>
      <c r="M25" s="45" t="n">
        <v>-1338.211</v>
      </c>
    </row>
    <row r="26">
      <c r="A26" t="n">
        <v>2003</v>
      </c>
      <c r="B26" s="45" t="n">
        <v>-1064.493</v>
      </c>
      <c r="C26" s="45" t="n">
        <v>643.224</v>
      </c>
      <c r="D26" s="45" t="n">
        <v>11180.802</v>
      </c>
      <c r="E26" s="45" t="n">
        <v>6729.147</v>
      </c>
      <c r="F26" s="45" t="n">
        <v>0</v>
      </c>
      <c r="G26" s="45" t="n">
        <v>0</v>
      </c>
      <c r="H26" s="45" t="n">
        <v>0</v>
      </c>
      <c r="I26" s="45" t="n">
        <v>0</v>
      </c>
      <c r="J26" s="45" t="n">
        <v>2.247</v>
      </c>
      <c r="K26" s="45" t="n">
        <v>-15632.065</v>
      </c>
      <c r="L26" s="45" t="n">
        <v>0</v>
      </c>
      <c r="M26" s="45" t="n">
        <v>-1941.998</v>
      </c>
    </row>
    <row r="27">
      <c r="A27" t="n">
        <v>2004</v>
      </c>
      <c r="B27" s="45" t="n">
        <v>-48292.47</v>
      </c>
      <c r="C27" s="45" t="n">
        <v>14556.008</v>
      </c>
      <c r="D27" s="45" t="n">
        <v>57838.483</v>
      </c>
      <c r="E27" s="45" t="n">
        <v>-2400.391</v>
      </c>
      <c r="F27" s="45" t="n">
        <v>0</v>
      </c>
      <c r="G27" s="45" t="n">
        <v>0</v>
      </c>
      <c r="H27" s="45" t="n">
        <v>0</v>
      </c>
      <c r="I27" s="45" t="n">
        <v>0</v>
      </c>
      <c r="J27" s="45" t="n">
        <v>-7.14</v>
      </c>
      <c r="K27" s="45" t="n">
        <v>-6032.014</v>
      </c>
      <c r="L27" s="45" t="n">
        <v>0</v>
      </c>
      <c r="M27" s="45" t="n">
        <v>-148.935</v>
      </c>
    </row>
    <row r="28">
      <c r="A28" t="n">
        <v>2005</v>
      </c>
      <c r="B28" s="45" t="n">
        <v>-43007.731</v>
      </c>
      <c r="C28" s="45" t="n">
        <v>52394.883</v>
      </c>
      <c r="D28" s="45" t="n">
        <v>2808.482</v>
      </c>
      <c r="E28" s="45" t="n">
        <v>2373.784</v>
      </c>
      <c r="F28" s="45" t="n">
        <v>0</v>
      </c>
      <c r="G28" s="45" t="n">
        <v>0</v>
      </c>
      <c r="H28" s="45" t="n">
        <v>0</v>
      </c>
      <c r="I28" s="45" t="n">
        <v>0</v>
      </c>
      <c r="J28" s="45" t="n">
        <v>-3.343</v>
      </c>
      <c r="K28" s="45" t="n">
        <v>-2684.423</v>
      </c>
      <c r="L28" s="45" t="n">
        <v>0</v>
      </c>
      <c r="M28" s="45" t="n">
        <v>632.9059999999999</v>
      </c>
    </row>
    <row r="29">
      <c r="A29" t="n">
        <v>2006</v>
      </c>
      <c r="B29" s="45" t="n">
        <v>-59510.709</v>
      </c>
      <c r="C29" s="45" t="n">
        <v>74368.942</v>
      </c>
      <c r="D29" s="45" t="n">
        <v>-686.574</v>
      </c>
      <c r="E29" s="45" t="n">
        <v>-764.37</v>
      </c>
      <c r="F29" s="45" t="n">
        <v>0</v>
      </c>
      <c r="G29" s="45" t="n">
        <v>0</v>
      </c>
      <c r="H29" s="45" t="n">
        <v>0</v>
      </c>
      <c r="I29" s="45" t="n">
        <v>0</v>
      </c>
      <c r="J29" s="45" t="n">
        <v>-1.476</v>
      </c>
      <c r="K29" s="45" t="n">
        <v>5436.454</v>
      </c>
      <c r="L29" s="45" t="n">
        <v>0</v>
      </c>
      <c r="M29" s="45" t="n">
        <v>1012.499</v>
      </c>
    </row>
    <row r="30">
      <c r="A30" t="n">
        <v>2007</v>
      </c>
      <c r="B30" s="45" t="n">
        <v>-55600.882</v>
      </c>
      <c r="C30" s="45" t="n">
        <v>155390.627</v>
      </c>
      <c r="D30" s="45" t="n">
        <v>-73974.527</v>
      </c>
      <c r="E30" s="45" t="n">
        <v>-10600.939</v>
      </c>
      <c r="F30" s="45" t="n">
        <v>0</v>
      </c>
      <c r="G30" s="45" t="n">
        <v>0</v>
      </c>
      <c r="H30" s="45" t="n">
        <v>0</v>
      </c>
      <c r="I30" s="45" t="n">
        <v>0</v>
      </c>
      <c r="J30" s="45" t="n">
        <v>-3.017</v>
      </c>
      <c r="K30" s="45" t="n">
        <v>8812.156000000001</v>
      </c>
      <c r="L30" s="45" t="n">
        <v>0</v>
      </c>
      <c r="M30" s="45" t="n">
        <v>1491.448</v>
      </c>
    </row>
    <row r="31">
      <c r="A31" t="n">
        <v>2008</v>
      </c>
      <c r="B31" s="45" t="n">
        <v>-74312.39599999999</v>
      </c>
      <c r="C31" s="45" t="n">
        <v>-12124.211</v>
      </c>
      <c r="D31" s="45" t="n">
        <v>34058.554</v>
      </c>
      <c r="E31" s="45" t="n">
        <v>57041.22</v>
      </c>
      <c r="F31" s="45" t="n">
        <v>0</v>
      </c>
      <c r="G31" s="45" t="n">
        <v>0</v>
      </c>
      <c r="H31" s="45" t="n">
        <v>0</v>
      </c>
      <c r="I31" s="45" t="n">
        <v>0</v>
      </c>
      <c r="J31" s="45" t="n">
        <v>-1.073</v>
      </c>
      <c r="K31" s="45" t="n">
        <v>-4801.25</v>
      </c>
      <c r="L31" s="45" t="n">
        <v>0</v>
      </c>
      <c r="M31" s="45" t="n">
        <v>1071.994</v>
      </c>
    </row>
    <row r="32">
      <c r="A32" t="n">
        <v>2009</v>
      </c>
      <c r="B32" s="45" t="n">
        <v>-52311.507</v>
      </c>
      <c r="C32" s="45" t="n">
        <v>62936.723</v>
      </c>
      <c r="D32" s="45" t="n">
        <v>11280.602</v>
      </c>
      <c r="E32" s="45" t="n">
        <v>-3425.469</v>
      </c>
      <c r="F32" s="45" t="n">
        <v>0</v>
      </c>
      <c r="G32" s="45" t="n">
        <v>0</v>
      </c>
      <c r="H32" s="45" t="n">
        <v>0</v>
      </c>
      <c r="I32" s="45" t="n">
        <v>0</v>
      </c>
      <c r="J32" s="45" t="n">
        <v>-1.181</v>
      </c>
      <c r="K32" s="45" t="n">
        <v>-3198.916</v>
      </c>
      <c r="L32" s="45" t="n">
        <v>0</v>
      </c>
      <c r="M32" s="45" t="n">
        <v>3242.878</v>
      </c>
    </row>
    <row r="33">
      <c r="A33" t="n">
        <v>2010</v>
      </c>
      <c r="B33" s="45" t="n">
        <v>-51203.673</v>
      </c>
      <c r="C33" s="45" t="n">
        <v>75552.632</v>
      </c>
      <c r="D33" s="45" t="n">
        <v>249513.458</v>
      </c>
      <c r="E33" s="45" t="n">
        <v>-236911.071</v>
      </c>
      <c r="F33" s="45" t="n">
        <v>0</v>
      </c>
      <c r="G33" s="45" t="n">
        <v>0</v>
      </c>
      <c r="H33" s="45" t="n">
        <v>0</v>
      </c>
      <c r="I33" s="45" t="n">
        <v>0</v>
      </c>
      <c r="J33" s="45" t="n">
        <v>-0.539</v>
      </c>
      <c r="K33" s="45" t="n">
        <v>0</v>
      </c>
      <c r="L33" s="45" t="n">
        <v>0</v>
      </c>
      <c r="M33" s="45" t="n">
        <v>3829.68</v>
      </c>
    </row>
    <row r="34">
      <c r="A34" t="n">
        <v>2011</v>
      </c>
      <c r="B34" s="45" t="n">
        <v>-125632.863</v>
      </c>
      <c r="C34" s="45" t="n">
        <v>85156.228</v>
      </c>
      <c r="D34" s="45" t="n">
        <v>70196.20299999999</v>
      </c>
      <c r="E34" s="45" t="n">
        <v>-24388.014</v>
      </c>
      <c r="F34" s="45" t="n">
        <v>0</v>
      </c>
      <c r="G34" s="45" t="n">
        <v>0</v>
      </c>
      <c r="H34" s="45" t="n">
        <v>0</v>
      </c>
      <c r="I34" s="45" t="n">
        <v>0</v>
      </c>
      <c r="J34" s="45" t="n">
        <v>-0.5600000000000001</v>
      </c>
      <c r="K34" s="45" t="n">
        <v>-705.683</v>
      </c>
      <c r="L34" s="45" t="n">
        <v>0</v>
      </c>
      <c r="M34" s="45" t="n">
        <v>2756.678</v>
      </c>
    </row>
    <row r="35">
      <c r="A35" t="n">
        <v>2012</v>
      </c>
      <c r="B35" s="45" t="n">
        <v>-121648.972</v>
      </c>
      <c r="C35" s="45" t="n">
        <v>25896.973</v>
      </c>
      <c r="D35" s="45" t="n">
        <v>5653.172</v>
      </c>
      <c r="E35" s="45" t="n">
        <v>118682.701</v>
      </c>
      <c r="F35" s="45" t="n">
        <v>0</v>
      </c>
      <c r="G35" s="45" t="n">
        <v>0</v>
      </c>
      <c r="H35" s="45" t="n">
        <v>0</v>
      </c>
      <c r="I35" s="45" t="n">
        <v>0</v>
      </c>
      <c r="J35" s="45" t="n">
        <v>45.943</v>
      </c>
      <c r="K35" s="45" t="n">
        <v>-1100.801</v>
      </c>
      <c r="L35" s="45" t="n">
        <v>0</v>
      </c>
      <c r="M35" s="45" t="n">
        <v>-8392.875</v>
      </c>
    </row>
    <row r="36">
      <c r="A36" t="n">
        <v>2013</v>
      </c>
      <c r="B36" s="45" t="n">
        <v>-127554.789</v>
      </c>
      <c r="C36" s="45" t="n">
        <v>-22428.624</v>
      </c>
      <c r="D36" s="45" t="n">
        <v>197242.065</v>
      </c>
      <c r="E36" s="45" t="n">
        <v>-19903.346</v>
      </c>
      <c r="F36" s="45" t="n">
        <v>0</v>
      </c>
      <c r="G36" s="45" t="n">
        <v>0</v>
      </c>
      <c r="H36" s="45" t="n">
        <v>0</v>
      </c>
      <c r="I36" s="45" t="n">
        <v>0</v>
      </c>
      <c r="J36" s="45" t="n">
        <v>-1.675</v>
      </c>
      <c r="K36" s="45" t="n">
        <v>1314.564</v>
      </c>
      <c r="L36" s="45" t="n">
        <v>0</v>
      </c>
      <c r="M36" s="45" t="n">
        <v>-12532.941</v>
      </c>
    </row>
    <row r="37">
      <c r="A37" t="n">
        <v>2014</v>
      </c>
      <c r="B37" s="45" t="n">
        <v>-668.486</v>
      </c>
      <c r="C37" s="45" t="n">
        <v>16274.839</v>
      </c>
      <c r="D37" s="45" t="n">
        <v>-76307.204</v>
      </c>
      <c r="E37" s="45" t="n">
        <v>56163.369</v>
      </c>
      <c r="F37" s="45" t="n">
        <v>0</v>
      </c>
      <c r="G37" s="45" t="n">
        <v>0</v>
      </c>
      <c r="H37" s="45" t="n">
        <v>0</v>
      </c>
      <c r="I37" s="45" t="n">
        <v>0</v>
      </c>
      <c r="J37" s="45" t="n">
        <v>-0.045</v>
      </c>
      <c r="K37" s="45" t="n">
        <v>17329.053</v>
      </c>
      <c r="L37" s="45" t="n">
        <v>0</v>
      </c>
      <c r="M37" s="45" t="n">
        <v>1227.406</v>
      </c>
    </row>
    <row r="38">
      <c r="A38" t="n">
        <v>2015</v>
      </c>
      <c r="B38" s="45" t="n">
        <v>59665.808</v>
      </c>
      <c r="C38" s="45" t="n">
        <v>-15037.71</v>
      </c>
      <c r="D38" s="45" t="n">
        <v>-124016.063</v>
      </c>
      <c r="E38" s="45" t="n">
        <v>-24740.332</v>
      </c>
      <c r="F38" s="45" t="n">
        <v>0</v>
      </c>
      <c r="G38" s="45" t="n">
        <v>0</v>
      </c>
      <c r="H38" s="45" t="n">
        <v>0</v>
      </c>
      <c r="I38" s="45" t="n">
        <v>0</v>
      </c>
      <c r="J38" s="45" t="n">
        <v>-0.593</v>
      </c>
      <c r="K38" s="45" t="n">
        <v>89657.15300000001</v>
      </c>
      <c r="L38" s="45" t="n">
        <v>0</v>
      </c>
      <c r="M38" s="45" t="n">
        <v>6233.098</v>
      </c>
    </row>
    <row r="39">
      <c r="A39" t="n">
        <v>2016</v>
      </c>
      <c r="B39" s="45" t="n">
        <v>12284.191</v>
      </c>
      <c r="C39" s="45" t="n">
        <v>32532.733</v>
      </c>
      <c r="D39" s="45" t="n">
        <v>32267.88</v>
      </c>
      <c r="E39" s="45" t="n">
        <v>6054.528</v>
      </c>
      <c r="F39" s="45" t="n">
        <v>0</v>
      </c>
      <c r="G39" s="45" t="n">
        <v>0</v>
      </c>
      <c r="H39" s="45" t="n">
        <v>0</v>
      </c>
      <c r="I39" s="45" t="n">
        <v>0</v>
      </c>
      <c r="J39" s="45" t="n">
        <v>-3.179</v>
      </c>
      <c r="K39" s="45" t="n">
        <v>-75562.37300000001</v>
      </c>
      <c r="L39" s="45" t="n">
        <v>0</v>
      </c>
      <c r="M39" s="45" t="n">
        <v>7424.617</v>
      </c>
    </row>
    <row r="40">
      <c r="A40" t="n">
        <v>2017</v>
      </c>
      <c r="B40" s="45" t="n">
        <v>52132.877</v>
      </c>
      <c r="C40" s="45" t="n">
        <v>1396.743</v>
      </c>
      <c r="D40" s="45" t="n">
        <v>-26792.966</v>
      </c>
      <c r="E40" s="45" t="n">
        <v>867.627</v>
      </c>
      <c r="F40" s="45" t="n">
        <v>0</v>
      </c>
      <c r="G40" s="45" t="n">
        <v>0</v>
      </c>
      <c r="H40" s="45" t="n">
        <v>0</v>
      </c>
      <c r="I40" s="45" t="n">
        <v>0</v>
      </c>
      <c r="J40" s="45" t="n">
        <v>-0.181</v>
      </c>
      <c r="K40" s="45" t="n">
        <v>-7032.535</v>
      </c>
      <c r="L40" s="45" t="n">
        <v>0</v>
      </c>
      <c r="M40" s="45" t="n">
        <v>5896.818</v>
      </c>
    </row>
    <row r="41">
      <c r="A41" t="n">
        <v>2018</v>
      </c>
      <c r="B41" s="45" t="n">
        <v>-44486.13</v>
      </c>
      <c r="C41" s="45" t="n">
        <v>-17348.77</v>
      </c>
      <c r="D41" s="45" t="n">
        <v>35093.592</v>
      </c>
      <c r="E41" s="45" t="n">
        <v>13987.567</v>
      </c>
      <c r="F41" s="45" t="n">
        <v>0</v>
      </c>
      <c r="G41" s="45" t="n">
        <v>0</v>
      </c>
      <c r="H41" s="45" t="n">
        <v>0</v>
      </c>
      <c r="I41" s="45" t="n">
        <v>0</v>
      </c>
      <c r="J41" s="45" t="n">
        <v>13.2</v>
      </c>
      <c r="K41" s="45" t="n">
        <v>15125.016</v>
      </c>
      <c r="L41" s="45" t="n">
        <v>0</v>
      </c>
      <c r="M41" s="45" t="n">
        <v>2909.758</v>
      </c>
    </row>
    <row r="42">
      <c r="A42" t="n">
        <v>2019</v>
      </c>
      <c r="B42" s="45" t="n">
        <v>-89301.052</v>
      </c>
      <c r="C42" s="45" t="n">
        <v>-141168.328</v>
      </c>
      <c r="D42" s="45" t="n">
        <v>227324.959</v>
      </c>
      <c r="E42" s="45" t="n">
        <v>16690.766</v>
      </c>
      <c r="F42" s="45" t="n">
        <v>0</v>
      </c>
      <c r="G42" s="45" t="n">
        <v>0</v>
      </c>
      <c r="H42" s="45" t="n">
        <v>0</v>
      </c>
      <c r="I42" s="45" t="n">
        <v>0</v>
      </c>
      <c r="J42" s="45" t="n">
        <v>-14.549</v>
      </c>
      <c r="K42" s="45" t="n">
        <v>7639.551</v>
      </c>
      <c r="L42" s="45" t="n">
        <v>0</v>
      </c>
      <c r="M42" s="45" t="n">
        <v>-6634.019</v>
      </c>
    </row>
    <row r="43">
      <c r="A43" t="n">
        <v>2020</v>
      </c>
      <c r="B43" s="45" t="n">
        <v>704194.5379999999</v>
      </c>
      <c r="C43" s="45" t="n">
        <v>-117733.553</v>
      </c>
      <c r="D43" s="45" t="n">
        <v>-630037.433</v>
      </c>
      <c r="E43" s="45" t="n">
        <v>69829.095</v>
      </c>
      <c r="F43" s="45" t="n">
        <v>0</v>
      </c>
      <c r="G43" s="45" t="n">
        <v>0</v>
      </c>
      <c r="H43" s="45" t="n">
        <v>0</v>
      </c>
      <c r="I43" s="45" t="n">
        <v>0</v>
      </c>
      <c r="J43" s="45" t="n">
        <v>3.485</v>
      </c>
      <c r="K43" s="45" t="n">
        <v>40800.821</v>
      </c>
      <c r="L43" s="45" t="n">
        <v>67236.04399999999</v>
      </c>
      <c r="M43" s="45" t="n">
        <v>-19343.055</v>
      </c>
    </row>
    <row r="44">
      <c r="A44" t="n">
        <v>2021</v>
      </c>
      <c r="B44" s="45" t="n">
        <v>-81290.481</v>
      </c>
      <c r="C44" s="45" t="n">
        <v>-36630.77</v>
      </c>
      <c r="D44" s="45" t="n">
        <v>182431.271</v>
      </c>
      <c r="E44" s="45" t="n">
        <v>-26059.891</v>
      </c>
      <c r="F44" s="45" t="n">
        <v>0</v>
      </c>
      <c r="G44" s="45" t="n">
        <v>0</v>
      </c>
      <c r="H44" s="45" t="n">
        <v>0</v>
      </c>
      <c r="I44" s="45" t="n">
        <v>0</v>
      </c>
      <c r="J44" s="45" t="n">
        <v>44.99</v>
      </c>
      <c r="K44" s="45" t="n">
        <v>22323.949</v>
      </c>
      <c r="L44" s="45" t="n">
        <v>-52769.578</v>
      </c>
      <c r="M44" s="45" t="n">
        <v>-30402.627</v>
      </c>
    </row>
    <row r="45">
      <c r="A45" t="n">
        <v>2022</v>
      </c>
      <c r="B45" s="45" t="n">
        <v>-152518.591</v>
      </c>
      <c r="C45" s="45" t="n">
        <v>-56620.783</v>
      </c>
      <c r="D45" s="45" t="n">
        <v>437174.227</v>
      </c>
      <c r="E45" s="45" t="n">
        <v>-54168.5</v>
      </c>
      <c r="F45" s="45" t="n">
        <v>0</v>
      </c>
      <c r="G45" s="45" t="n">
        <v>0</v>
      </c>
      <c r="H45" s="45" t="n">
        <v>0</v>
      </c>
      <c r="I45" s="45" t="n">
        <v>0</v>
      </c>
      <c r="J45" s="45" t="n">
        <v>-27.398</v>
      </c>
      <c r="K45" s="45" t="n">
        <v>-92265.39999999999</v>
      </c>
      <c r="L45" s="45" t="n">
        <v>9097.299000000001</v>
      </c>
      <c r="M45" s="45" t="n">
        <v>-80194.454</v>
      </c>
    </row>
    <row r="46">
      <c r="A46" t="n">
        <v>2023</v>
      </c>
      <c r="B46" s="45" t="n">
        <v>206854.972</v>
      </c>
      <c r="C46" s="45" t="n">
        <v>78236.91</v>
      </c>
      <c r="D46" s="45" t="n">
        <v>-56588.088</v>
      </c>
      <c r="E46" s="45" t="n">
        <v>-45370.899</v>
      </c>
      <c r="F46" s="45" t="n">
        <v>0</v>
      </c>
      <c r="G46" s="45" t="n">
        <v>0</v>
      </c>
      <c r="H46" s="45" t="n">
        <v>0</v>
      </c>
      <c r="I46" s="45" t="n">
        <v>0</v>
      </c>
      <c r="J46" s="45" t="n">
        <v>-29.715</v>
      </c>
      <c r="K46" s="45" t="n">
        <v>-70871.662</v>
      </c>
      <c r="L46" s="45" t="n">
        <v>-33737.198</v>
      </c>
      <c r="M46" s="45" t="n">
        <v>-75435.61500000001</v>
      </c>
    </row>
    <row r="47">
      <c r="A47" t="n">
        <v>2024</v>
      </c>
      <c r="B47" s="45" t="n">
        <v>65831.935</v>
      </c>
      <c r="C47" s="45" t="n">
        <v>-212477.334</v>
      </c>
      <c r="D47" s="45" t="n">
        <v>158704.826</v>
      </c>
      <c r="E47" s="45" t="n">
        <v>-706.95</v>
      </c>
      <c r="F47" s="45" t="n">
        <v>0</v>
      </c>
      <c r="G47" s="45" t="n">
        <v>0</v>
      </c>
      <c r="H47" s="45" t="n">
        <v>0</v>
      </c>
      <c r="I47" s="45" t="n">
        <v>0</v>
      </c>
      <c r="J47" s="45" t="n">
        <v>-0.788</v>
      </c>
      <c r="K47" s="45" t="n">
        <v>115930.245</v>
      </c>
      <c r="L47" s="45" t="n">
        <v>-0.021</v>
      </c>
      <c r="M47" s="45" t="n">
        <v>-98786.795</v>
      </c>
    </row>
    <row r="48">
      <c r="A48" t="n">
        <v>2025</v>
      </c>
      <c r="B48" s="45" t="n">
        <v>94770.505</v>
      </c>
      <c r="C48" s="45" t="n">
        <v>8357.906000000001</v>
      </c>
      <c r="D48" s="45" t="n">
        <v>54036.513</v>
      </c>
      <c r="E48" s="45" t="n">
        <v>45376.981</v>
      </c>
      <c r="F48" s="45" t="n">
        <v>0</v>
      </c>
      <c r="G48" s="45" t="n">
        <v>0</v>
      </c>
      <c r="H48" s="45" t="n">
        <v>0</v>
      </c>
      <c r="I48" s="45" t="n">
        <v>0</v>
      </c>
      <c r="J48" s="45" t="n">
        <v>0</v>
      </c>
      <c r="K48" s="45" t="n">
        <v>-105895.906</v>
      </c>
      <c r="L48" s="45" t="n">
        <v>-0.024</v>
      </c>
      <c r="M48" s="45" t="n">
        <v>-100762.164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2026-09-06T02:21:02Z</dcterms:created>
  <dcterms:modified xsi:type="dcterms:W3CDTF">2026-09-06T02:21:03Z</dcterms:modified>
</cp:coreProperties>
</file>