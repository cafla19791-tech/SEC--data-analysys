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Discriminativo" sheetId="2" state="visible" r:id="rId2"/>
    <sheet name="Anual" sheetId="3" state="visible" r:id="rId3"/>
    <sheet name="Identidade" sheetId="4" state="visible" r:id="rId4"/>
    <sheet name="Grafico" sheetId="5" state="visible" r:id="rId5"/>
  </sheets>
  <definedNames>
    <definedName name="_xlnm._FilterDatabase" localSheetId="1" hidden="1">'Discriminativo'!$A$4:$I$36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&quot;−&quot;#,##0.00;&quot;—&quot;"/>
    <numFmt numFmtId="165" formatCode="#,##0.0;&quot;−&quot;#,##0.0;&quot;—&quot;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sz val="9"/>
    </font>
    <font>
      <name val="Calibri"/>
      <i val="1"/>
      <sz val="8"/>
    </font>
    <font>
      <name val="Calibri"/>
      <sz val="9"/>
    </font>
    <font>
      <name val="Calibri"/>
      <b val="1"/>
      <color rgb="009B1B1B"/>
      <sz val="9"/>
    </font>
    <font>
      <name val="Calibri"/>
      <i val="1"/>
      <color rgb="00666666"/>
      <sz val="8"/>
    </font>
    <font>
      <name val="Calibri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164" fontId="0" fillId="0" borderId="1" pivotButton="0" quotePrefix="0" xfId="0"/>
    <xf numFmtId="164" fontId="8" fillId="3" borderId="1" pivotButton="0" quotePrefix="0" xfId="0"/>
    <xf numFmtId="165" fontId="8" fillId="3" borderId="1" pivotButton="0" quotePrefix="0" xfId="0"/>
    <xf numFmtId="0" fontId="9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164" fontId="10" fillId="0" borderId="1" pivotButton="0" quotePrefix="0" xfId="0"/>
    <xf numFmtId="164" fontId="11" fillId="5" borderId="1" pivotButton="0" quotePrefix="0" xfId="0"/>
    <xf numFmtId="164" fontId="8" fillId="6" borderId="1" pivotButton="0" quotePrefix="0" xfId="0"/>
    <xf numFmtId="0" fontId="7" fillId="6" borderId="1" pivotButton="0" quotePrefix="0" xfId="0"/>
    <xf numFmtId="0" fontId="0" fillId="6" borderId="1" pivotButton="0" quotePrefix="0" xfId="0"/>
    <xf numFmtId="0" fontId="12" fillId="0" borderId="0" pivotButton="0" quotePrefix="0" xfId="0"/>
    <xf numFmtId="0" fontId="5" fillId="0" borderId="0" pivotButton="0" quotePrefix="0" xfId="0"/>
    <xf numFmtId="0" fontId="1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5" fontId="13" fillId="0" borderId="1" pivotButton="0" quotePrefix="0" xfId="0"/>
    <xf numFmtId="0" fontId="9" fillId="0" borderId="1" pivotButton="0" quotePrefix="0" xfId="0"/>
    <xf numFmtId="0" fontId="13" fillId="0" borderId="1" pivotButton="0" quotePrefix="0" xfId="0"/>
    <xf numFmtId="164" fontId="1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Fatores condicionantes da DBGG/PIB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'Grafico'!B3</f>
            </strRef>
          </tx>
          <spPr>
            <a:ln>
              <a:prstDash val="solid"/>
            </a:ln>
          </spPr>
          <cat>
            <numRef>
              <f>'Grafico'!$A$4:$A$27</f>
            </numRef>
          </cat>
          <val>
            <numRef>
              <f>'Grafico'!$B$4:$B$27</f>
            </numRef>
          </val>
        </ser>
        <ser>
          <idx val="1"/>
          <order val="1"/>
          <tx>
            <strRef>
              <f>'Grafico'!C3</f>
            </strRef>
          </tx>
          <spPr>
            <a:ln>
              <a:prstDash val="solid"/>
            </a:ln>
          </spPr>
          <cat>
            <numRef>
              <f>'Grafico'!$A$4:$A$27</f>
            </numRef>
          </cat>
          <val>
            <numRef>
              <f>'Grafico'!$C$4:$C$27</f>
            </numRef>
          </val>
        </ser>
        <ser>
          <idx val="2"/>
          <order val="2"/>
          <tx>
            <strRef>
              <f>'Grafico'!D3</f>
            </strRef>
          </tx>
          <spPr>
            <a:ln>
              <a:prstDash val="solid"/>
            </a:ln>
          </spPr>
          <cat>
            <numRef>
              <f>'Grafico'!$A$4:$A$27</f>
            </numRef>
          </cat>
          <val>
            <numRef>
              <f>'Grafico'!$D$4:$D$27</f>
            </numRef>
          </val>
        </ser>
        <ser>
          <idx val="3"/>
          <order val="3"/>
          <tx>
            <strRef>
              <f>'Grafico'!E3</f>
            </strRef>
          </tx>
          <spPr>
            <a:ln>
              <a:prstDash val="solid"/>
            </a:ln>
          </spPr>
          <cat>
            <numRef>
              <f>'Grafico'!$A$4:$A$27</f>
            </numRef>
          </cat>
          <val>
            <numRef>
              <f>'Grafico'!$E$4:$E$27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p.p. do PIB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Fatores condicionantes da Dívida Bruta do Governo Geral (1995–2026)</t>
        </is>
      </c>
    </row>
    <row r="3" ht="22" customHeight="1">
      <c r="A3" s="2" t="inlineStr">
        <is>
          <t>Gerado em</t>
        </is>
      </c>
      <c r="B3" s="3" t="inlineStr">
        <is>
          <t>06/09/2026 02:51</t>
        </is>
      </c>
    </row>
    <row r="4" ht="22" customHeight="1">
      <c r="A4" s="2" t="inlineStr">
        <is>
          <t>Marker</t>
        </is>
      </c>
      <c r="B4" s="3" t="inlineStr">
        <is>
          <t>fatores-dbgg-1995-2026-20260906</t>
        </is>
      </c>
    </row>
    <row r="5" ht="22" customHeight="1">
      <c r="A5" s="2" t="inlineStr">
        <is>
          <t>Fonte</t>
        </is>
      </c>
      <c r="B5" s="3" t="inlineStr">
        <is>
          <t>Banco Central do Brasil — SGS (Departamento de Estatísticas)</t>
        </is>
      </c>
    </row>
    <row r="6" ht="22" customHeight="1">
      <c r="A6" s="2" t="inlineStr">
        <is>
          <t>Unidade</t>
        </is>
      </c>
      <c r="B6" s="3" t="inlineStr">
        <is>
          <t>Fatores e variação em pontos percentuais do PIB; estoque também em R$ milhões</t>
        </is>
      </c>
    </row>
    <row r="7" ht="22" customHeight="1">
      <c r="A7" s="2" t="inlineStr">
        <is>
          <t>Cobertura</t>
        </is>
      </c>
      <c r="B7" s="3" t="inlineStr">
        <is>
          <t>1995–2026; último mês disponível: 07/2026</t>
        </is>
      </c>
    </row>
    <row r="8" ht="22" customHeight="1">
      <c r="A8" s="2" t="inlineStr">
        <is>
          <t>Anos na amostra</t>
        </is>
      </c>
      <c r="B8" s="3" t="inlineStr">
        <is>
          <t>32</t>
        </is>
      </c>
    </row>
    <row r="9" ht="48" customHeight="1">
      <c r="A9" s="2" t="inlineStr">
        <is>
          <t>O que é um fator condicionante da DBGG</t>
        </is>
      </c>
      <c r="B9" s="3" t="inlineStr">
        <is>
          <t>Na Nota de Estatísticas Fiscais o Bacen decompõe a variação da relação DBGG/PIB em juros nominais apropriados, emissões líquidas de dívida, efeito da variação cambial, reconhecimento de dívidas e/ou privatizações, demais ajustes e efeito do crescimento do PIB nominal. Essa decomposição oficial não é publicada como série SGS.</t>
        </is>
      </c>
    </row>
    <row r="10" ht="48" customHeight="1">
      <c r="A10" s="2" t="inlineStr">
        <is>
          <t>Identidade usada aqui</t>
        </is>
      </c>
      <c r="B10" s="3" t="inlineStr">
        <is>
          <t>Δ(DBGG/PIB) = juros_NFSP_GG + primário_NFSP_GG + efeito_PIB + demais. efeito_PIB = −d_{t−1} × g/(1+g), g = PIB_12m_t / PIB_12m_{t−1} − 1 (SGS 4382). «Demais» é o resíduo que fecha a identidade.</t>
        </is>
      </c>
    </row>
    <row r="11" ht="48" customHeight="1">
      <c r="A11" s="2" t="inlineStr">
        <is>
          <t>Juros e primário</t>
        </is>
      </c>
      <c r="B11" s="3" t="inlineStr">
        <is>
          <t>Governo Geral = Governo Federal + estados + municípios (SGS 5751+5753 e 5784+5786 no acumulado em 12 meses; 4607+4610+4611 e 4640+4643+4644 no fluxo mensal). Sinal da NFSP: necessidade positiva = déficit (aumenta a dívida); superávit primário entra negativo. A NFSP mede a dívida líquida: os juros da DBGG (bruta) são em geral maiores, e as «emissões líquidas» da Nota do Bacen não coincidem com o primário quando o Tesouro acumula ou desfaz ativos (Conta Única).</t>
        </is>
      </c>
    </row>
    <row r="12" ht="48" customHeight="1">
      <c r="A12" s="2" t="inlineStr">
        <is>
          <t>Quebra metodológica da DBGG</t>
        </is>
      </c>
      <c r="B12" s="3" t="inlineStr">
        <is>
          <t>Metodologia atual (SGS 13762 / 13761): estoque desde dez/2006; primeira variação anual em 2007. Metodologia até 2007 (SGS 4537): estoque desde 2002. Não se soma nem se encadeia as duas séries. Antes de 2002 o Bacen não publica DBGG oficial no SGS — as linhas 1995–2001 mostram só a NFSP do Governo Geral a partir de 1999.</t>
        </is>
      </c>
    </row>
    <row r="13" ht="48" customHeight="1">
      <c r="A13" s="2" t="inlineStr">
        <is>
          <t>2026*</t>
        </is>
      </c>
      <c r="B13" s="3" t="inlineStr">
        <is>
          <t>Ano incompleto (último mês da amostra). Juros e primário são a soma dos fluxos mensais de janeiro até o último mês, dividida pelo PIB acumulado em 12 meses desse mês — não se usa o acumulado em 12 meses, que mistura o ano anterior.</t>
        </is>
      </c>
    </row>
    <row r="14" ht="48" customHeight="1">
      <c r="A14" s="2" t="inlineStr">
        <is>
          <t>Sinal e formatação</t>
        </is>
      </c>
      <c r="B14" s="3" t="inlineStr">
        <is>
          <t>Positivo = aumenta a relação DBGG/PIB. Negativos: sinal − (U+2212) em vermelho negrito sobre fundo #FFC7CE.</t>
        </is>
      </c>
    </row>
    <row r="15" ht="48" customHeight="1">
      <c r="A15" s="2" t="inlineStr">
        <is>
          <t>Abas</t>
        </is>
      </c>
      <c r="B15" s="3" t="inlineStr">
        <is>
          <t>Discriminativo — um ano por linha; «Variação da DBGG/PIB» = SOMA algébrica dos quatro fatores. Anual — a mesma matriz transposta. Identidade — resíduo da identidade. Grafico — contribuições anuais empilhadas.</t>
        </is>
      </c>
    </row>
    <row r="16" ht="48" customHeight="1">
      <c r="A16" s="2" t="inlineStr">
        <is>
          <t>Não é DLSP</t>
        </is>
      </c>
      <c r="B16" s="3" t="inlineStr">
        <is>
          <t>A Dívida Líquida do Setor Público (SGS 4513) não substitui a DBGG: o efeito cambial da DLSP inclui as reservas internacionais (sinal oposto ao da dívida externa bruta).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4" t="inlineStr">
        <is>
          <t>Discriminativo — fatores condicionantes da DBGG/PIB (1995–2026)</t>
        </is>
      </c>
    </row>
    <row r="2" ht="40" customHeight="1">
      <c r="A2" s="5" t="inlineStr">
        <is>
          <t>Cada linha é um ano. Fatores em p.p. do PIB. A coluna «Variação da DBGG/PIB» é a soma algébrica dos quatro fatores (fórmula SOMA). Positivo aumenta a dívida. Último mês da amostra: 07/2026. Negativos: sinal − vermelho negrito, fundo #FFC7CE.</t>
        </is>
      </c>
    </row>
    <row r="4" ht="36" customHeight="1">
      <c r="A4" s="6" t="inlineStr">
        <is>
          <t>Ano</t>
        </is>
      </c>
      <c r="B4" s="6" t="inlineStr">
        <is>
          <t>Juros nominais</t>
        </is>
      </c>
      <c r="C4" s="6" t="inlineStr">
        <is>
          <t>Primário</t>
        </is>
      </c>
      <c r="D4" s="6" t="inlineStr">
        <is>
          <t>Efeito do PIB nominal</t>
        </is>
      </c>
      <c r="E4" s="6" t="inlineStr">
        <is>
          <t>Demais fatores</t>
        </is>
      </c>
      <c r="F4" s="6" t="inlineStr">
        <is>
          <t>Variação da DBGG/PIB</t>
        </is>
      </c>
      <c r="G4" s="6" t="inlineStr">
        <is>
          <t>Estoque DBGG (% PIB)</t>
        </is>
      </c>
      <c r="H4" s="6" t="inlineStr">
        <is>
          <t>Estoque DBGG (R$ milhões)</t>
        </is>
      </c>
      <c r="I4" s="6" t="inlineStr">
        <is>
          <t>Metodologia</t>
        </is>
      </c>
    </row>
    <row r="5">
      <c r="A5" s="7" t="inlineStr">
        <is>
          <t>1995</t>
        </is>
      </c>
      <c r="B5" s="8" t="n"/>
      <c r="C5" s="8" t="n"/>
      <c r="D5" s="8" t="n"/>
      <c r="E5" s="8" t="n"/>
      <c r="F5" s="8" t="n"/>
      <c r="G5" s="9" t="n"/>
      <c r="H5" s="10" t="n"/>
      <c r="I5" s="11" t="n"/>
    </row>
    <row r="6">
      <c r="A6" s="12" t="inlineStr">
        <is>
          <t>1996</t>
        </is>
      </c>
      <c r="B6" s="8" t="n"/>
      <c r="C6" s="8" t="n"/>
      <c r="D6" s="8" t="n"/>
      <c r="E6" s="8" t="n"/>
      <c r="F6" s="8" t="n"/>
      <c r="G6" s="9" t="n"/>
      <c r="H6" s="10" t="n"/>
      <c r="I6" s="11" t="n"/>
    </row>
    <row r="7">
      <c r="A7" s="7" t="inlineStr">
        <is>
          <t>1997</t>
        </is>
      </c>
      <c r="B7" s="8" t="n"/>
      <c r="C7" s="8" t="n"/>
      <c r="D7" s="8" t="n"/>
      <c r="E7" s="8" t="n"/>
      <c r="F7" s="8" t="n"/>
      <c r="G7" s="9" t="n"/>
      <c r="H7" s="10" t="n"/>
      <c r="I7" s="11" t="n"/>
    </row>
    <row r="8">
      <c r="A8" s="12" t="inlineStr">
        <is>
          <t>1998</t>
        </is>
      </c>
      <c r="B8" s="8" t="n"/>
      <c r="C8" s="8" t="n"/>
      <c r="D8" s="8" t="n"/>
      <c r="E8" s="8" t="n"/>
      <c r="F8" s="8" t="n"/>
      <c r="G8" s="9" t="n"/>
      <c r="H8" s="10" t="n"/>
      <c r="I8" s="11" t="n"/>
    </row>
    <row r="9">
      <c r="A9" s="7" t="inlineStr">
        <is>
          <t>1999</t>
        </is>
      </c>
      <c r="B9" s="13" t="n">
        <v>7.399999999999999</v>
      </c>
      <c r="C9" s="14" t="n">
        <v>-2.34</v>
      </c>
      <c r="D9" s="8" t="n"/>
      <c r="E9" s="8" t="n"/>
      <c r="F9" s="8" t="n"/>
      <c r="G9" s="9" t="n"/>
      <c r="H9" s="10" t="n"/>
      <c r="I9" s="11" t="n"/>
    </row>
    <row r="10">
      <c r="A10" s="12" t="inlineStr">
        <is>
          <t>2000</t>
        </is>
      </c>
      <c r="B10" s="13" t="n">
        <v>6</v>
      </c>
      <c r="C10" s="14" t="n">
        <v>-2.24</v>
      </c>
      <c r="D10" s="8" t="n"/>
      <c r="E10" s="8" t="n"/>
      <c r="F10" s="8" t="n"/>
      <c r="G10" s="9" t="n"/>
      <c r="H10" s="10" t="n"/>
      <c r="I10" s="11" t="n"/>
    </row>
    <row r="11">
      <c r="A11" s="7" t="inlineStr">
        <is>
          <t>2001</t>
        </is>
      </c>
      <c r="B11" s="13" t="n">
        <v>6.4</v>
      </c>
      <c r="C11" s="14" t="n">
        <v>-2.52</v>
      </c>
      <c r="D11" s="8" t="n"/>
      <c r="E11" s="8" t="n"/>
      <c r="F11" s="8" t="n"/>
      <c r="G11" s="9" t="n"/>
      <c r="H11" s="10" t="n"/>
      <c r="I11" s="11" t="n"/>
    </row>
    <row r="12">
      <c r="A12" s="12" t="inlineStr">
        <is>
          <t>2002</t>
        </is>
      </c>
      <c r="B12" s="13" t="n">
        <v>7.5</v>
      </c>
      <c r="C12" s="14" t="n">
        <v>-2.91</v>
      </c>
      <c r="D12" s="8" t="n"/>
      <c r="E12" s="8" t="n"/>
      <c r="F12" s="8" t="n"/>
      <c r="G12" s="9" t="n">
        <v>76.09999999999999</v>
      </c>
      <c r="H12" s="10" t="n">
        <v>1132967.1353</v>
      </c>
      <c r="I12" s="11" t="inlineStr">
        <is>
          <t>até 2007</t>
        </is>
      </c>
    </row>
    <row r="13">
      <c r="A13" s="7" t="inlineStr">
        <is>
          <t>2003</t>
        </is>
      </c>
      <c r="B13" s="13" t="n">
        <v>8.960000000000001</v>
      </c>
      <c r="C13" s="14" t="n">
        <v>-3.07</v>
      </c>
      <c r="D13" s="14" t="n">
        <v>-10.15123132192872</v>
      </c>
      <c r="E13" s="14" t="n">
        <v>-0.3287686780712651</v>
      </c>
      <c r="F13" s="14">
        <f>SUM(B13:E13)</f>
        <v/>
      </c>
      <c r="G13" s="9" t="n">
        <v>71.51000000000001</v>
      </c>
      <c r="H13" s="10" t="n">
        <v>1228506.33104</v>
      </c>
      <c r="I13" s="11" t="inlineStr">
        <is>
          <t>até 2007</t>
        </is>
      </c>
    </row>
    <row r="14">
      <c r="A14" s="12" t="inlineStr">
        <is>
          <t>2004</t>
        </is>
      </c>
      <c r="B14" s="13" t="n">
        <v>7.01</v>
      </c>
      <c r="C14" s="14" t="n">
        <v>-3.58</v>
      </c>
      <c r="D14" s="14" t="n">
        <v>-8.759108515934003</v>
      </c>
      <c r="E14" s="13" t="n">
        <v>1.849108515933999</v>
      </c>
      <c r="F14" s="14">
        <f>SUM(B14:E14)</f>
        <v/>
      </c>
      <c r="G14" s="9" t="n">
        <v>68.03</v>
      </c>
      <c r="H14" s="10" t="n">
        <v>1331858.14136</v>
      </c>
      <c r="I14" s="11" t="inlineStr">
        <is>
          <t>até 2007</t>
        </is>
      </c>
    </row>
    <row r="15">
      <c r="A15" s="7" t="inlineStr">
        <is>
          <t>2005</t>
        </is>
      </c>
      <c r="B15" s="13" t="n">
        <v>7.23</v>
      </c>
      <c r="C15" s="14" t="n">
        <v>-3.56</v>
      </c>
      <c r="D15" s="14" t="n">
        <v>-6.67057624294286</v>
      </c>
      <c r="E15" s="13" t="n">
        <v>1.940576242942858</v>
      </c>
      <c r="F15" s="14">
        <f>SUM(B15:E15)</f>
        <v/>
      </c>
      <c r="G15" s="9" t="n">
        <v>66.97</v>
      </c>
      <c r="H15" s="10" t="n">
        <v>1453640.43965</v>
      </c>
      <c r="I15" s="11" t="inlineStr">
        <is>
          <t>até 2007</t>
        </is>
      </c>
    </row>
    <row r="16">
      <c r="A16" s="12" t="inlineStr">
        <is>
          <t>2006</t>
        </is>
      </c>
      <c r="B16" s="13" t="n">
        <v>6.38</v>
      </c>
      <c r="C16" s="14" t="n">
        <v>-2.96</v>
      </c>
      <c r="D16" s="14" t="n">
        <v>-6.639198365568839</v>
      </c>
      <c r="E16" s="13" t="n">
        <v>0.8491983655688351</v>
      </c>
      <c r="F16" s="14">
        <f>SUM(B16:E16)</f>
        <v/>
      </c>
      <c r="G16" s="9" t="n">
        <v>64.59999999999999</v>
      </c>
      <c r="H16" s="10" t="n">
        <v>1556504.6354</v>
      </c>
      <c r="I16" s="11" t="inlineStr">
        <is>
          <t>até 2007</t>
        </is>
      </c>
    </row>
    <row r="17">
      <c r="A17" s="7" t="inlineStr">
        <is>
          <t>2007</t>
        </is>
      </c>
      <c r="B17" s="13" t="n">
        <v>5.54</v>
      </c>
      <c r="C17" s="14" t="n">
        <v>-3.31</v>
      </c>
      <c r="D17" s="14" t="n">
        <v>-6.339058346162053</v>
      </c>
      <c r="E17" s="13" t="n">
        <v>5.349058346162055</v>
      </c>
      <c r="F17" s="15">
        <f>SUM(B17:E17)</f>
        <v/>
      </c>
      <c r="G17" s="9" t="n">
        <v>56.72</v>
      </c>
      <c r="H17" s="10" t="n">
        <v>1542851.83</v>
      </c>
      <c r="I17" s="11" t="inlineStr">
        <is>
          <t>a partir de 2008</t>
        </is>
      </c>
    </row>
    <row r="18">
      <c r="A18" s="12" t="inlineStr">
        <is>
          <t>2008</t>
        </is>
      </c>
      <c r="B18" s="13" t="n">
        <v>5.61</v>
      </c>
      <c r="C18" s="14" t="n">
        <v>-3.29</v>
      </c>
      <c r="D18" s="14" t="n">
        <v>-7.104861444121658</v>
      </c>
      <c r="E18" s="13" t="n">
        <v>4.044861444121656</v>
      </c>
      <c r="F18" s="14">
        <f>SUM(B18:E18)</f>
        <v/>
      </c>
      <c r="G18" s="9" t="n">
        <v>55.98</v>
      </c>
      <c r="H18" s="10" t="n">
        <v>1740887.81</v>
      </c>
      <c r="I18" s="11" t="inlineStr">
        <is>
          <t>a partir de 2008</t>
        </is>
      </c>
    </row>
    <row r="19">
      <c r="A19" s="7" t="inlineStr">
        <is>
          <t>2009</t>
        </is>
      </c>
      <c r="B19" s="13" t="n">
        <v>5.140000000000001</v>
      </c>
      <c r="C19" s="14" t="n">
        <v>-1.92</v>
      </c>
      <c r="D19" s="14" t="n">
        <v>-3.749361040856577</v>
      </c>
      <c r="E19" s="13" t="n">
        <v>3.75936104085658</v>
      </c>
      <c r="F19" s="15">
        <f>SUM(B19:E19)</f>
        <v/>
      </c>
      <c r="G19" s="9" t="n">
        <v>59.21</v>
      </c>
      <c r="H19" s="10" t="n">
        <v>1973423.68</v>
      </c>
      <c r="I19" s="11" t="inlineStr">
        <is>
          <t>a partir de 2008</t>
        </is>
      </c>
    </row>
    <row r="20">
      <c r="A20" s="12" t="inlineStr">
        <is>
          <t>2010</t>
        </is>
      </c>
      <c r="B20" s="13" t="n">
        <v>5.42</v>
      </c>
      <c r="C20" s="14" t="n">
        <v>-2.57</v>
      </c>
      <c r="D20" s="14" t="n">
        <v>-8.423321349502444</v>
      </c>
      <c r="E20" s="14" t="n">
        <v>-1.866678650497553</v>
      </c>
      <c r="F20" s="14">
        <f>SUM(B20:E20)</f>
        <v/>
      </c>
      <c r="G20" s="9" t="n">
        <v>51.77</v>
      </c>
      <c r="H20" s="10" t="n">
        <v>2011521.66</v>
      </c>
      <c r="I20" s="11" t="inlineStr">
        <is>
          <t>a partir de 2008</t>
        </is>
      </c>
    </row>
    <row r="21">
      <c r="A21" s="7" t="inlineStr">
        <is>
          <t>2011</t>
        </is>
      </c>
      <c r="B21" s="13" t="n">
        <v>5.8</v>
      </c>
      <c r="C21" s="14" t="n">
        <v>-2.89</v>
      </c>
      <c r="D21" s="14" t="n">
        <v>-5.802737729476086</v>
      </c>
      <c r="E21" s="13" t="n">
        <v>2.392737729476087</v>
      </c>
      <c r="F21" s="14">
        <f>SUM(B21:E21)</f>
        <v/>
      </c>
      <c r="G21" s="9" t="n">
        <v>51.27</v>
      </c>
      <c r="H21" s="10" t="n">
        <v>2243603.72</v>
      </c>
      <c r="I21" s="11" t="inlineStr">
        <is>
          <t>a partir de 2008</t>
        </is>
      </c>
    </row>
    <row r="22">
      <c r="A22" s="12" t="inlineStr">
        <is>
          <t>2012</t>
        </is>
      </c>
      <c r="B22" s="13" t="n">
        <v>4.98</v>
      </c>
      <c r="C22" s="14" t="n">
        <v>-2.25</v>
      </c>
      <c r="D22" s="14" t="n">
        <v>-4.668070695112529</v>
      </c>
      <c r="E22" s="13" t="n">
        <v>4.338070695112527</v>
      </c>
      <c r="F22" s="15">
        <f>SUM(B22:E22)</f>
        <v/>
      </c>
      <c r="G22" s="9" t="n">
        <v>53.67</v>
      </c>
      <c r="H22" s="10" t="n">
        <v>2583946.35</v>
      </c>
      <c r="I22" s="11" t="inlineStr">
        <is>
          <t>a partir de 2008</t>
        </is>
      </c>
    </row>
    <row r="23">
      <c r="A23" s="7" t="inlineStr">
        <is>
          <t>2013</t>
        </is>
      </c>
      <c r="B23" s="13" t="n">
        <v>5.22</v>
      </c>
      <c r="C23" s="14" t="n">
        <v>-1.75</v>
      </c>
      <c r="D23" s="14" t="n">
        <v>-5.202889128049101</v>
      </c>
      <c r="E23" s="14" t="n">
        <v>-0.3971108719509013</v>
      </c>
      <c r="F23" s="14">
        <f>SUM(B23:E23)</f>
        <v/>
      </c>
      <c r="G23" s="9" t="n">
        <v>51.54</v>
      </c>
      <c r="H23" s="10" t="n">
        <v>2747996.71</v>
      </c>
      <c r="I23" s="11" t="inlineStr">
        <is>
          <t>a partir de 2008</t>
        </is>
      </c>
    </row>
    <row r="24">
      <c r="A24" s="12" t="inlineStr">
        <is>
          <t>2014</t>
        </is>
      </c>
      <c r="B24" s="13" t="n">
        <v>5.720000000000001</v>
      </c>
      <c r="C24" s="13" t="n">
        <v>0.48</v>
      </c>
      <c r="D24" s="14" t="n">
        <v>-3.989579835655352</v>
      </c>
      <c r="E24" s="13" t="n">
        <v>2.529579835655354</v>
      </c>
      <c r="F24" s="15">
        <f>SUM(B24:E24)</f>
        <v/>
      </c>
      <c r="G24" s="9" t="n">
        <v>56.28</v>
      </c>
      <c r="H24" s="10" t="n">
        <v>3252448.55</v>
      </c>
      <c r="I24" s="11" t="inlineStr">
        <is>
          <t>a partir de 2008</t>
        </is>
      </c>
    </row>
    <row r="25">
      <c r="A25" s="7" t="inlineStr">
        <is>
          <t>2015</t>
        </is>
      </c>
      <c r="B25" s="13" t="n">
        <v>8.789999999999999</v>
      </c>
      <c r="C25" s="13" t="n">
        <v>1.77</v>
      </c>
      <c r="D25" s="14" t="n">
        <v>-2.035332062329764</v>
      </c>
      <c r="E25" s="13" t="n">
        <v>0.6953320623297641</v>
      </c>
      <c r="F25" s="15">
        <f>SUM(B25:E25)</f>
        <v/>
      </c>
      <c r="G25" s="9" t="n">
        <v>65.5</v>
      </c>
      <c r="H25" s="10" t="n">
        <v>3927523.06</v>
      </c>
      <c r="I25" s="11" t="inlineStr">
        <is>
          <t>a partir de 2008</t>
        </is>
      </c>
    </row>
    <row r="26">
      <c r="A26" s="12" t="inlineStr">
        <is>
          <t>2016</t>
        </is>
      </c>
      <c r="B26" s="13" t="n">
        <v>6.48</v>
      </c>
      <c r="C26" s="13" t="n">
        <v>2.46</v>
      </c>
      <c r="D26" s="14" t="n">
        <v>-2.857871768712694</v>
      </c>
      <c r="E26" s="14" t="n">
        <v>-1.742128231287303</v>
      </c>
      <c r="F26" s="15">
        <f>SUM(B26:E26)</f>
        <v/>
      </c>
      <c r="G26" s="9" t="n">
        <v>69.84</v>
      </c>
      <c r="H26" s="10" t="n">
        <v>4378486.39</v>
      </c>
      <c r="I26" s="11" t="inlineStr">
        <is>
          <t>a partir de 2008</t>
        </is>
      </c>
    </row>
    <row r="27">
      <c r="A27" s="7" t="inlineStr">
        <is>
          <t>2017</t>
        </is>
      </c>
      <c r="B27" s="13" t="n">
        <v>6.680000000000001</v>
      </c>
      <c r="C27" s="13" t="n">
        <v>1.68</v>
      </c>
      <c r="D27" s="14" t="n">
        <v>-3.352829132095017</v>
      </c>
      <c r="E27" s="14" t="n">
        <v>-1.127170867904987</v>
      </c>
      <c r="F27" s="15">
        <f>SUM(B27:E27)</f>
        <v/>
      </c>
      <c r="G27" s="9" t="n">
        <v>73.72</v>
      </c>
      <c r="H27" s="10" t="n">
        <v>4854678.59</v>
      </c>
      <c r="I27" s="11" t="inlineStr">
        <is>
          <t>a partir de 2008</t>
        </is>
      </c>
    </row>
    <row r="28">
      <c r="A28" s="12" t="inlineStr">
        <is>
          <t>2018</t>
        </is>
      </c>
      <c r="B28" s="13" t="n">
        <v>6.4</v>
      </c>
      <c r="C28" s="13" t="n">
        <v>1.6</v>
      </c>
      <c r="D28" s="14" t="n">
        <v>-4.406502187777198</v>
      </c>
      <c r="E28" s="14" t="n">
        <v>-2.043497812222805</v>
      </c>
      <c r="F28" s="15">
        <f>SUM(B28:E28)</f>
        <v/>
      </c>
      <c r="G28" s="9" t="n">
        <v>75.27</v>
      </c>
      <c r="H28" s="10" t="n">
        <v>5271982.26</v>
      </c>
      <c r="I28" s="11" t="inlineStr">
        <is>
          <t>a partir de 2008</t>
        </is>
      </c>
    </row>
    <row r="29">
      <c r="A29" s="7" t="inlineStr">
        <is>
          <t>2019</t>
        </is>
      </c>
      <c r="B29" s="13" t="n">
        <v>5.08</v>
      </c>
      <c r="C29" s="13" t="n">
        <v>0.99</v>
      </c>
      <c r="D29" s="14" t="n">
        <v>-3.921732785627977</v>
      </c>
      <c r="E29" s="14" t="n">
        <v>-2.978267214372022</v>
      </c>
      <c r="F29" s="14">
        <f>SUM(B29:E29)</f>
        <v/>
      </c>
      <c r="G29" s="9" t="n">
        <v>74.44</v>
      </c>
      <c r="H29" s="10" t="n">
        <v>5500104.16</v>
      </c>
      <c r="I29" s="11" t="inlineStr">
        <is>
          <t>a partir de 2008</t>
        </is>
      </c>
    </row>
    <row r="30">
      <c r="A30" s="12" t="inlineStr">
        <is>
          <t>2020</t>
        </is>
      </c>
      <c r="B30" s="13" t="n">
        <v>4.27</v>
      </c>
      <c r="C30" s="13" t="n">
        <v>9.279999999999999</v>
      </c>
      <c r="D30" s="14" t="n">
        <v>-2.156683072704118</v>
      </c>
      <c r="E30" s="13" t="n">
        <v>1.106683072704119</v>
      </c>
      <c r="F30" s="15">
        <f>SUM(B30:E30)</f>
        <v/>
      </c>
      <c r="G30" s="9" t="n">
        <v>86.94</v>
      </c>
      <c r="H30" s="10" t="n">
        <v>6615755.2</v>
      </c>
      <c r="I30" s="11" t="inlineStr">
        <is>
          <t>a partir de 2008</t>
        </is>
      </c>
    </row>
    <row r="31">
      <c r="A31" s="7" t="inlineStr">
        <is>
          <t>2021</t>
        </is>
      </c>
      <c r="B31" s="13" t="n">
        <v>4.760000000000001</v>
      </c>
      <c r="C31" s="14" t="n">
        <v>-0.6900000000000001</v>
      </c>
      <c r="D31" s="14" t="n">
        <v>-13.53033078040714</v>
      </c>
      <c r="E31" s="14" t="n">
        <v>-0.1696692195928566</v>
      </c>
      <c r="F31" s="14">
        <f>SUM(B31:E31)</f>
        <v/>
      </c>
      <c r="G31" s="9" t="n">
        <v>77.31</v>
      </c>
      <c r="H31" s="10" t="n">
        <v>6966925.2</v>
      </c>
      <c r="I31" s="11" t="inlineStr">
        <is>
          <t>a partir de 2008</t>
        </is>
      </c>
    </row>
    <row r="32">
      <c r="A32" s="12" t="inlineStr">
        <is>
          <t>2022</t>
        </is>
      </c>
      <c r="B32" s="13" t="n">
        <v>5.61</v>
      </c>
      <c r="C32" s="14" t="n">
        <v>-1.19</v>
      </c>
      <c r="D32" s="14" t="n">
        <v>-8.187872499620944</v>
      </c>
      <c r="E32" s="14" t="n">
        <v>-1.862127500379051</v>
      </c>
      <c r="F32" s="14">
        <f>SUM(B32:E32)</f>
        <v/>
      </c>
      <c r="G32" s="9" t="n">
        <v>71.68000000000001</v>
      </c>
      <c r="H32" s="10" t="n">
        <v>7224882.23</v>
      </c>
      <c r="I32" s="11" t="inlineStr">
        <is>
          <t>a partir de 2008</t>
        </is>
      </c>
    </row>
    <row r="33">
      <c r="A33" s="7" t="inlineStr">
        <is>
          <t>2023</t>
        </is>
      </c>
      <c r="B33" s="13" t="n">
        <v>5.92</v>
      </c>
      <c r="C33" s="13" t="n">
        <v>2.25</v>
      </c>
      <c r="D33" s="14" t="n">
        <v>-5.657111599527701</v>
      </c>
      <c r="E33" s="14" t="n">
        <v>-0.3628884004723076</v>
      </c>
      <c r="F33" s="15">
        <f>SUM(B33:E33)</f>
        <v/>
      </c>
      <c r="G33" s="9" t="n">
        <v>73.83</v>
      </c>
      <c r="H33" s="10" t="n">
        <v>8079270.02</v>
      </c>
      <c r="I33" s="11" t="inlineStr">
        <is>
          <t>a partir de 2008</t>
        </is>
      </c>
    </row>
    <row r="34">
      <c r="A34" s="12" t="inlineStr">
        <is>
          <t>2024</t>
        </is>
      </c>
      <c r="B34" s="13" t="n">
        <v>6.27</v>
      </c>
      <c r="C34" s="13" t="n">
        <v>0.32</v>
      </c>
      <c r="D34" s="14" t="n">
        <v>-5.239291928894025</v>
      </c>
      <c r="E34" s="13" t="n">
        <v>1.089291928894023</v>
      </c>
      <c r="F34" s="15">
        <f>SUM(B34:E34)</f>
        <v/>
      </c>
      <c r="G34" s="9" t="n">
        <v>76.27</v>
      </c>
      <c r="H34" s="10" t="n">
        <v>8984236.59</v>
      </c>
      <c r="I34" s="11" t="inlineStr">
        <is>
          <t>a partir de 2008</t>
        </is>
      </c>
    </row>
    <row r="35">
      <c r="A35" s="7" t="inlineStr">
        <is>
          <t>2025</t>
        </is>
      </c>
      <c r="B35" s="13" t="n">
        <v>7.68</v>
      </c>
      <c r="C35" s="13" t="n">
        <v>0.38</v>
      </c>
      <c r="D35" s="14" t="n">
        <v>-5.743735782151178</v>
      </c>
      <c r="E35" s="13" t="n">
        <v>0.05373578215118258</v>
      </c>
      <c r="F35" s="15">
        <f>SUM(B35:E35)</f>
        <v/>
      </c>
      <c r="G35" s="9" t="n">
        <v>78.64</v>
      </c>
      <c r="H35" s="10" t="n">
        <v>10017919.14</v>
      </c>
      <c r="I35" s="11" t="inlineStr">
        <is>
          <t>a partir de 2008</t>
        </is>
      </c>
    </row>
    <row r="36">
      <c r="A36" s="12" t="inlineStr">
        <is>
          <t>2026*</t>
        </is>
      </c>
      <c r="B36" s="13" t="n">
        <v>4.86638997228795</v>
      </c>
      <c r="C36" s="13" t="n">
        <v>0.5141588894485943</v>
      </c>
      <c r="D36" s="14" t="n">
        <v>-3.133982950680176</v>
      </c>
      <c r="E36" s="13" t="n">
        <v>1.623434088943635</v>
      </c>
      <c r="F36" s="15">
        <f>SUM(B36:E36)</f>
        <v/>
      </c>
      <c r="G36" s="9" t="n">
        <v>82.51000000000001</v>
      </c>
      <c r="H36" s="10" t="n">
        <v>10946725.8</v>
      </c>
      <c r="I36" s="11" t="inlineStr">
        <is>
          <t>a partir de 2008</t>
        </is>
      </c>
    </row>
    <row r="37">
      <c r="A37" s="16" t="inlineStr">
        <is>
          <t>Soma dos fluxos</t>
        </is>
      </c>
      <c r="B37" s="15">
        <f>SUM(B5:B36)</f>
        <v/>
      </c>
      <c r="C37" s="15">
        <f>SUM(C5:C36)</f>
        <v/>
      </c>
      <c r="D37" s="15">
        <f>SUM(D5:D36)</f>
        <v/>
      </c>
      <c r="E37" s="15">
        <f>SUM(E5:E36)</f>
        <v/>
      </c>
      <c r="F37" s="15">
        <f>SUM(F5:F36)</f>
        <v/>
      </c>
      <c r="G37" s="17" t="n"/>
      <c r="H37" s="17" t="n"/>
      <c r="I37" s="17" t="n"/>
    </row>
    <row r="39">
      <c r="A39" s="18" t="inlineStr">
        <is>
          <t>Valores em p.p. do PIB, exceto o estoque em R$ milhões. «Variação da DBGG/PIB» = SOMA de juros + primário + efeito PIB + demais. 1995–2001: sem estoque oficial de DBGG no SGS. 2002–2006: metodologia até 2007 (4537). 2007–2026: metodologia a partir de 2008 (13762/13761). Coluna 2026* = até 07/2026.</t>
        </is>
      </c>
    </row>
  </sheetData>
  <autoFilter ref="A4:I36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>
      <c r="A1" s="4" t="inlineStr">
        <is>
          <t>Fatores condicionantes da DBGG — um fator por linha</t>
        </is>
      </c>
    </row>
    <row r="2">
      <c r="A2" s="19" t="inlineStr">
        <is>
          <t>Mesma informação do Discriminativo, transposta. p.p. do PIB, exceto estoque em R$ milhões. Último mês: 07/2026.</t>
        </is>
      </c>
    </row>
    <row r="4">
      <c r="A4" s="6" t="inlineStr">
        <is>
          <t>Item</t>
        </is>
      </c>
      <c r="B4" s="6" t="inlineStr">
        <is>
          <t>Papel</t>
        </is>
      </c>
      <c r="C4" s="6" t="inlineStr">
        <is>
          <t>1995</t>
        </is>
      </c>
      <c r="D4" s="6" t="inlineStr">
        <is>
          <t>1996</t>
        </is>
      </c>
      <c r="E4" s="6" t="inlineStr">
        <is>
          <t>1997</t>
        </is>
      </c>
      <c r="F4" s="6" t="inlineStr">
        <is>
          <t>1998</t>
        </is>
      </c>
      <c r="G4" s="6" t="inlineStr">
        <is>
          <t>1999</t>
        </is>
      </c>
      <c r="H4" s="6" t="inlineStr">
        <is>
          <t>2000</t>
        </is>
      </c>
      <c r="I4" s="6" t="inlineStr">
        <is>
          <t>2001</t>
        </is>
      </c>
      <c r="J4" s="6" t="inlineStr">
        <is>
          <t>2002</t>
        </is>
      </c>
      <c r="K4" s="6" t="inlineStr">
        <is>
          <t>2003</t>
        </is>
      </c>
      <c r="L4" s="6" t="inlineStr">
        <is>
          <t>2004</t>
        </is>
      </c>
      <c r="M4" s="6" t="inlineStr">
        <is>
          <t>2005</t>
        </is>
      </c>
      <c r="N4" s="6" t="inlineStr">
        <is>
          <t>2006</t>
        </is>
      </c>
      <c r="O4" s="6" t="inlineStr">
        <is>
          <t>2007</t>
        </is>
      </c>
      <c r="P4" s="6" t="inlineStr">
        <is>
          <t>2008</t>
        </is>
      </c>
      <c r="Q4" s="6" t="inlineStr">
        <is>
          <t>2009</t>
        </is>
      </c>
      <c r="R4" s="6" t="inlineStr">
        <is>
          <t>2010</t>
        </is>
      </c>
      <c r="S4" s="6" t="inlineStr">
        <is>
          <t>2011</t>
        </is>
      </c>
      <c r="T4" s="6" t="inlineStr">
        <is>
          <t>2012</t>
        </is>
      </c>
      <c r="U4" s="6" t="inlineStr">
        <is>
          <t>2013</t>
        </is>
      </c>
      <c r="V4" s="6" t="inlineStr">
        <is>
          <t>2014</t>
        </is>
      </c>
      <c r="W4" s="6" t="inlineStr">
        <is>
          <t>2015</t>
        </is>
      </c>
      <c r="X4" s="6" t="inlineStr">
        <is>
          <t>2016</t>
        </is>
      </c>
      <c r="Y4" s="6" t="inlineStr">
        <is>
          <t>2017</t>
        </is>
      </c>
      <c r="Z4" s="6" t="inlineStr">
        <is>
          <t>2018</t>
        </is>
      </c>
      <c r="AA4" s="6" t="inlineStr">
        <is>
          <t>2019</t>
        </is>
      </c>
      <c r="AB4" s="6" t="inlineStr">
        <is>
          <t>2020</t>
        </is>
      </c>
      <c r="AC4" s="6" t="inlineStr">
        <is>
          <t>2021</t>
        </is>
      </c>
      <c r="AD4" s="6" t="inlineStr">
        <is>
          <t>2022</t>
        </is>
      </c>
      <c r="AE4" s="6" t="inlineStr">
        <is>
          <t>2023</t>
        </is>
      </c>
      <c r="AF4" s="6" t="inlineStr">
        <is>
          <t>2024</t>
        </is>
      </c>
      <c r="AG4" s="6" t="inlineStr">
        <is>
          <t>2025</t>
        </is>
      </c>
      <c r="AH4" s="6" t="inlineStr">
        <is>
          <t>2026</t>
        </is>
      </c>
    </row>
    <row r="5">
      <c r="A5" s="20" t="inlineStr">
        <is>
          <t>Juros nominais</t>
        </is>
      </c>
      <c r="B5" s="21" t="inlineStr">
        <is>
          <t>fator</t>
        </is>
      </c>
      <c r="C5" s="8" t="n"/>
      <c r="D5" s="8" t="n"/>
      <c r="E5" s="8" t="n"/>
      <c r="F5" s="8" t="n"/>
      <c r="G5" s="13" t="n">
        <v>7.399999999999999</v>
      </c>
      <c r="H5" s="13" t="n">
        <v>6</v>
      </c>
      <c r="I5" s="13" t="n">
        <v>6.4</v>
      </c>
      <c r="J5" s="13" t="n">
        <v>7.5</v>
      </c>
      <c r="K5" s="13" t="n">
        <v>8.960000000000001</v>
      </c>
      <c r="L5" s="13" t="n">
        <v>7.01</v>
      </c>
      <c r="M5" s="13" t="n">
        <v>7.23</v>
      </c>
      <c r="N5" s="13" t="n">
        <v>6.38</v>
      </c>
      <c r="O5" s="13" t="n">
        <v>5.54</v>
      </c>
      <c r="P5" s="13" t="n">
        <v>5.61</v>
      </c>
      <c r="Q5" s="13" t="n">
        <v>5.140000000000001</v>
      </c>
      <c r="R5" s="13" t="n">
        <v>5.42</v>
      </c>
      <c r="S5" s="13" t="n">
        <v>5.8</v>
      </c>
      <c r="T5" s="13" t="n">
        <v>4.98</v>
      </c>
      <c r="U5" s="13" t="n">
        <v>5.22</v>
      </c>
      <c r="V5" s="13" t="n">
        <v>5.720000000000001</v>
      </c>
      <c r="W5" s="13" t="n">
        <v>8.789999999999999</v>
      </c>
      <c r="X5" s="13" t="n">
        <v>6.48</v>
      </c>
      <c r="Y5" s="13" t="n">
        <v>6.680000000000001</v>
      </c>
      <c r="Z5" s="13" t="n">
        <v>6.4</v>
      </c>
      <c r="AA5" s="13" t="n">
        <v>5.08</v>
      </c>
      <c r="AB5" s="13" t="n">
        <v>4.27</v>
      </c>
      <c r="AC5" s="13" t="n">
        <v>4.760000000000001</v>
      </c>
      <c r="AD5" s="13" t="n">
        <v>5.61</v>
      </c>
      <c r="AE5" s="13" t="n">
        <v>5.92</v>
      </c>
      <c r="AF5" s="13" t="n">
        <v>6.27</v>
      </c>
      <c r="AG5" s="13" t="n">
        <v>7.68</v>
      </c>
      <c r="AH5" s="13" t="n">
        <v>4.86638997228795</v>
      </c>
    </row>
    <row r="6">
      <c r="A6" s="20" t="inlineStr">
        <is>
          <t>Primário</t>
        </is>
      </c>
      <c r="B6" s="21" t="inlineStr">
        <is>
          <t>fator</t>
        </is>
      </c>
      <c r="C6" s="8" t="n"/>
      <c r="D6" s="8" t="n"/>
      <c r="E6" s="8" t="n"/>
      <c r="F6" s="8" t="n"/>
      <c r="G6" s="14" t="n">
        <v>-2.34</v>
      </c>
      <c r="H6" s="14" t="n">
        <v>-2.24</v>
      </c>
      <c r="I6" s="14" t="n">
        <v>-2.52</v>
      </c>
      <c r="J6" s="14" t="n">
        <v>-2.91</v>
      </c>
      <c r="K6" s="14" t="n">
        <v>-3.07</v>
      </c>
      <c r="L6" s="14" t="n">
        <v>-3.58</v>
      </c>
      <c r="M6" s="14" t="n">
        <v>-3.56</v>
      </c>
      <c r="N6" s="14" t="n">
        <v>-2.96</v>
      </c>
      <c r="O6" s="14" t="n">
        <v>-3.31</v>
      </c>
      <c r="P6" s="14" t="n">
        <v>-3.29</v>
      </c>
      <c r="Q6" s="14" t="n">
        <v>-1.92</v>
      </c>
      <c r="R6" s="14" t="n">
        <v>-2.57</v>
      </c>
      <c r="S6" s="14" t="n">
        <v>-2.89</v>
      </c>
      <c r="T6" s="14" t="n">
        <v>-2.25</v>
      </c>
      <c r="U6" s="14" t="n">
        <v>-1.75</v>
      </c>
      <c r="V6" s="13" t="n">
        <v>0.48</v>
      </c>
      <c r="W6" s="13" t="n">
        <v>1.77</v>
      </c>
      <c r="X6" s="13" t="n">
        <v>2.46</v>
      </c>
      <c r="Y6" s="13" t="n">
        <v>1.68</v>
      </c>
      <c r="Z6" s="13" t="n">
        <v>1.6</v>
      </c>
      <c r="AA6" s="13" t="n">
        <v>0.99</v>
      </c>
      <c r="AB6" s="13" t="n">
        <v>9.279999999999999</v>
      </c>
      <c r="AC6" s="14" t="n">
        <v>-0.6900000000000001</v>
      </c>
      <c r="AD6" s="14" t="n">
        <v>-1.19</v>
      </c>
      <c r="AE6" s="13" t="n">
        <v>2.25</v>
      </c>
      <c r="AF6" s="13" t="n">
        <v>0.32</v>
      </c>
      <c r="AG6" s="13" t="n">
        <v>0.38</v>
      </c>
      <c r="AH6" s="13" t="n">
        <v>0.5141588894485943</v>
      </c>
    </row>
    <row r="7">
      <c r="A7" s="20" t="inlineStr">
        <is>
          <t>Efeito do PIB nominal</t>
        </is>
      </c>
      <c r="B7" s="21" t="inlineStr">
        <is>
          <t>fator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14" t="n">
        <v>-10.15123132192872</v>
      </c>
      <c r="L7" s="14" t="n">
        <v>-8.759108515934003</v>
      </c>
      <c r="M7" s="14" t="n">
        <v>-6.67057624294286</v>
      </c>
      <c r="N7" s="14" t="n">
        <v>-6.639198365568839</v>
      </c>
      <c r="O7" s="14" t="n">
        <v>-6.339058346162053</v>
      </c>
      <c r="P7" s="14" t="n">
        <v>-7.104861444121658</v>
      </c>
      <c r="Q7" s="14" t="n">
        <v>-3.749361040856577</v>
      </c>
      <c r="R7" s="14" t="n">
        <v>-8.423321349502444</v>
      </c>
      <c r="S7" s="14" t="n">
        <v>-5.802737729476086</v>
      </c>
      <c r="T7" s="14" t="n">
        <v>-4.668070695112529</v>
      </c>
      <c r="U7" s="14" t="n">
        <v>-5.202889128049101</v>
      </c>
      <c r="V7" s="14" t="n">
        <v>-3.989579835655352</v>
      </c>
      <c r="W7" s="14" t="n">
        <v>-2.035332062329764</v>
      </c>
      <c r="X7" s="14" t="n">
        <v>-2.857871768712694</v>
      </c>
      <c r="Y7" s="14" t="n">
        <v>-3.352829132095017</v>
      </c>
      <c r="Z7" s="14" t="n">
        <v>-4.406502187777198</v>
      </c>
      <c r="AA7" s="14" t="n">
        <v>-3.921732785627977</v>
      </c>
      <c r="AB7" s="14" t="n">
        <v>-2.156683072704118</v>
      </c>
      <c r="AC7" s="14" t="n">
        <v>-13.53033078040714</v>
      </c>
      <c r="AD7" s="14" t="n">
        <v>-8.187872499620944</v>
      </c>
      <c r="AE7" s="14" t="n">
        <v>-5.657111599527701</v>
      </c>
      <c r="AF7" s="14" t="n">
        <v>-5.239291928894025</v>
      </c>
      <c r="AG7" s="14" t="n">
        <v>-5.743735782151178</v>
      </c>
      <c r="AH7" s="14" t="n">
        <v>-3.133982950680176</v>
      </c>
    </row>
    <row r="8">
      <c r="A8" s="20" t="inlineStr">
        <is>
          <t>Demais fatores</t>
        </is>
      </c>
      <c r="B8" s="21" t="inlineStr">
        <is>
          <t>fator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14" t="n">
        <v>-0.3287686780712651</v>
      </c>
      <c r="L8" s="13" t="n">
        <v>1.849108515933999</v>
      </c>
      <c r="M8" s="13" t="n">
        <v>1.940576242942858</v>
      </c>
      <c r="N8" s="13" t="n">
        <v>0.8491983655688351</v>
      </c>
      <c r="O8" s="13" t="n">
        <v>5.349058346162055</v>
      </c>
      <c r="P8" s="13" t="n">
        <v>4.044861444121656</v>
      </c>
      <c r="Q8" s="13" t="n">
        <v>3.75936104085658</v>
      </c>
      <c r="R8" s="14" t="n">
        <v>-1.866678650497553</v>
      </c>
      <c r="S8" s="13" t="n">
        <v>2.392737729476087</v>
      </c>
      <c r="T8" s="13" t="n">
        <v>4.338070695112527</v>
      </c>
      <c r="U8" s="14" t="n">
        <v>-0.3971108719509013</v>
      </c>
      <c r="V8" s="13" t="n">
        <v>2.529579835655354</v>
      </c>
      <c r="W8" s="13" t="n">
        <v>0.6953320623297641</v>
      </c>
      <c r="X8" s="14" t="n">
        <v>-1.742128231287303</v>
      </c>
      <c r="Y8" s="14" t="n">
        <v>-1.127170867904987</v>
      </c>
      <c r="Z8" s="14" t="n">
        <v>-2.043497812222805</v>
      </c>
      <c r="AA8" s="14" t="n">
        <v>-2.978267214372022</v>
      </c>
      <c r="AB8" s="13" t="n">
        <v>1.106683072704119</v>
      </c>
      <c r="AC8" s="14" t="n">
        <v>-0.1696692195928566</v>
      </c>
      <c r="AD8" s="14" t="n">
        <v>-1.862127500379051</v>
      </c>
      <c r="AE8" s="14" t="n">
        <v>-0.3628884004723076</v>
      </c>
      <c r="AF8" s="13" t="n">
        <v>1.089291928894023</v>
      </c>
      <c r="AG8" s="13" t="n">
        <v>0.05373578215118258</v>
      </c>
      <c r="AH8" s="13" t="n">
        <v>1.623434088943635</v>
      </c>
    </row>
    <row r="9">
      <c r="A9" s="20" t="inlineStr">
        <is>
          <t>Variação da DBGG/PIB</t>
        </is>
      </c>
      <c r="B9" s="21" t="inlineStr">
        <is>
          <t>total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14" t="n">
        <v>-4.589999999999989</v>
      </c>
      <c r="L9" s="14" t="n">
        <v>-3.480000000000004</v>
      </c>
      <c r="M9" s="14" t="n">
        <v>-1.060000000000002</v>
      </c>
      <c r="N9" s="14" t="n">
        <v>-2.370000000000004</v>
      </c>
      <c r="O9" s="13" t="n">
        <v>1.240000000000002</v>
      </c>
      <c r="P9" s="14" t="n">
        <v>-0.740000000000002</v>
      </c>
      <c r="Q9" s="13" t="n">
        <v>3.230000000000004</v>
      </c>
      <c r="R9" s="14" t="n">
        <v>-7.439999999999998</v>
      </c>
      <c r="S9" s="14" t="n">
        <v>-0.5</v>
      </c>
      <c r="T9" s="13" t="n">
        <v>2.399999999999999</v>
      </c>
      <c r="U9" s="14" t="n">
        <v>-2.130000000000003</v>
      </c>
      <c r="V9" s="13" t="n">
        <v>4.740000000000002</v>
      </c>
      <c r="W9" s="13" t="n">
        <v>9.219999999999999</v>
      </c>
      <c r="X9" s="13" t="n">
        <v>4.340000000000004</v>
      </c>
      <c r="Y9" s="13" t="n">
        <v>3.879999999999996</v>
      </c>
      <c r="Z9" s="13" t="n">
        <v>1.549999999999997</v>
      </c>
      <c r="AA9" s="14" t="n">
        <v>-0.8299999999999983</v>
      </c>
      <c r="AB9" s="13" t="n">
        <v>12.5</v>
      </c>
      <c r="AC9" s="14" t="n">
        <v>-9.629999999999997</v>
      </c>
      <c r="AD9" s="14" t="n">
        <v>-5.629999999999995</v>
      </c>
      <c r="AE9" s="13" t="n">
        <v>2.149999999999991</v>
      </c>
      <c r="AF9" s="13" t="n">
        <v>2.439999999999998</v>
      </c>
      <c r="AG9" s="13" t="n">
        <v>2.370000000000005</v>
      </c>
      <c r="AH9" s="13" t="n">
        <v>3.870000000000004</v>
      </c>
    </row>
    <row r="10">
      <c r="A10" s="20" t="inlineStr">
        <is>
          <t>Estoque DBGG (% PIB)</t>
        </is>
      </c>
      <c r="B10" s="21" t="inlineStr">
        <is>
          <t>estoque</t>
        </is>
      </c>
      <c r="C10" s="8" t="n"/>
      <c r="D10" s="8" t="n"/>
      <c r="E10" s="8" t="n"/>
      <c r="F10" s="8" t="n"/>
      <c r="G10" s="8" t="n"/>
      <c r="H10" s="8" t="n"/>
      <c r="I10" s="8" t="n"/>
      <c r="J10" s="13" t="n">
        <v>76.09999999999999</v>
      </c>
      <c r="K10" s="13" t="n">
        <v>71.51000000000001</v>
      </c>
      <c r="L10" s="13" t="n">
        <v>68.03</v>
      </c>
      <c r="M10" s="13" t="n">
        <v>66.97</v>
      </c>
      <c r="N10" s="13" t="n">
        <v>64.59999999999999</v>
      </c>
      <c r="O10" s="13" t="n">
        <v>56.72</v>
      </c>
      <c r="P10" s="13" t="n">
        <v>55.98</v>
      </c>
      <c r="Q10" s="13" t="n">
        <v>59.21</v>
      </c>
      <c r="R10" s="13" t="n">
        <v>51.77</v>
      </c>
      <c r="S10" s="13" t="n">
        <v>51.27</v>
      </c>
      <c r="T10" s="13" t="n">
        <v>53.67</v>
      </c>
      <c r="U10" s="13" t="n">
        <v>51.54</v>
      </c>
      <c r="V10" s="13" t="n">
        <v>56.28</v>
      </c>
      <c r="W10" s="13" t="n">
        <v>65.5</v>
      </c>
      <c r="X10" s="13" t="n">
        <v>69.84</v>
      </c>
      <c r="Y10" s="13" t="n">
        <v>73.72</v>
      </c>
      <c r="Z10" s="13" t="n">
        <v>75.27</v>
      </c>
      <c r="AA10" s="13" t="n">
        <v>74.44</v>
      </c>
      <c r="AB10" s="13" t="n">
        <v>86.94</v>
      </c>
      <c r="AC10" s="13" t="n">
        <v>77.31</v>
      </c>
      <c r="AD10" s="13" t="n">
        <v>71.68000000000001</v>
      </c>
      <c r="AE10" s="13" t="n">
        <v>73.83</v>
      </c>
      <c r="AF10" s="13" t="n">
        <v>76.27</v>
      </c>
      <c r="AG10" s="13" t="n">
        <v>78.64</v>
      </c>
      <c r="AH10" s="13" t="n">
        <v>82.51000000000001</v>
      </c>
    </row>
    <row r="11">
      <c r="A11" s="20" t="inlineStr">
        <is>
          <t>Estoque DBGG (R$ milhões)</t>
        </is>
      </c>
      <c r="B11" s="21" t="inlineStr">
        <is>
          <t>estoque_rs</t>
        </is>
      </c>
      <c r="C11" s="22" t="n"/>
      <c r="D11" s="22" t="n"/>
      <c r="E11" s="22" t="n"/>
      <c r="F11" s="22" t="n"/>
      <c r="G11" s="22" t="n"/>
      <c r="H11" s="22" t="n"/>
      <c r="I11" s="22" t="n"/>
      <c r="J11" s="23" t="n">
        <v>1132967.1353</v>
      </c>
      <c r="K11" s="23" t="n">
        <v>1228506.33104</v>
      </c>
      <c r="L11" s="23" t="n">
        <v>1331858.14136</v>
      </c>
      <c r="M11" s="23" t="n">
        <v>1453640.43965</v>
      </c>
      <c r="N11" s="23" t="n">
        <v>1556504.6354</v>
      </c>
      <c r="O11" s="23" t="n">
        <v>1542851.83</v>
      </c>
      <c r="P11" s="23" t="n">
        <v>1740887.81</v>
      </c>
      <c r="Q11" s="23" t="n">
        <v>1973423.68</v>
      </c>
      <c r="R11" s="23" t="n">
        <v>2011521.66</v>
      </c>
      <c r="S11" s="23" t="n">
        <v>2243603.72</v>
      </c>
      <c r="T11" s="23" t="n">
        <v>2583946.35</v>
      </c>
      <c r="U11" s="23" t="n">
        <v>2747996.71</v>
      </c>
      <c r="V11" s="23" t="n">
        <v>3252448.55</v>
      </c>
      <c r="W11" s="23" t="n">
        <v>3927523.06</v>
      </c>
      <c r="X11" s="23" t="n">
        <v>4378486.39</v>
      </c>
      <c r="Y11" s="23" t="n">
        <v>4854678.59</v>
      </c>
      <c r="Z11" s="23" t="n">
        <v>5271982.26</v>
      </c>
      <c r="AA11" s="23" t="n">
        <v>5500104.16</v>
      </c>
      <c r="AB11" s="23" t="n">
        <v>6615755.2</v>
      </c>
      <c r="AC11" s="23" t="n">
        <v>6966925.2</v>
      </c>
      <c r="AD11" s="23" t="n">
        <v>7224882.23</v>
      </c>
      <c r="AE11" s="23" t="n">
        <v>8079270.02</v>
      </c>
      <c r="AF11" s="23" t="n">
        <v>8984236.59</v>
      </c>
      <c r="AG11" s="23" t="n">
        <v>10017919.14</v>
      </c>
      <c r="AH11" s="23" t="n">
        <v>10946725.8</v>
      </c>
    </row>
    <row r="12">
      <c r="A12" s="20" t="inlineStr">
        <is>
          <t>Metodologia</t>
        </is>
      </c>
      <c r="B12" s="21" t="inlineStr">
        <is>
          <t>meta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inlineStr">
        <is>
          <t>até 2007</t>
        </is>
      </c>
      <c r="K12" s="24" t="inlineStr">
        <is>
          <t>até 2007</t>
        </is>
      </c>
      <c r="L12" s="24" t="inlineStr">
        <is>
          <t>até 2007</t>
        </is>
      </c>
      <c r="M12" s="24" t="inlineStr">
        <is>
          <t>até 2007</t>
        </is>
      </c>
      <c r="N12" s="24" t="inlineStr">
        <is>
          <t>até 2007</t>
        </is>
      </c>
      <c r="O12" s="24" t="inlineStr">
        <is>
          <t>a partir de 2008</t>
        </is>
      </c>
      <c r="P12" s="24" t="inlineStr">
        <is>
          <t>a partir de 2008</t>
        </is>
      </c>
      <c r="Q12" s="24" t="inlineStr">
        <is>
          <t>a partir de 2008</t>
        </is>
      </c>
      <c r="R12" s="24" t="inlineStr">
        <is>
          <t>a partir de 2008</t>
        </is>
      </c>
      <c r="S12" s="24" t="inlineStr">
        <is>
          <t>a partir de 2008</t>
        </is>
      </c>
      <c r="T12" s="24" t="inlineStr">
        <is>
          <t>a partir de 2008</t>
        </is>
      </c>
      <c r="U12" s="24" t="inlineStr">
        <is>
          <t>a partir de 2008</t>
        </is>
      </c>
      <c r="V12" s="24" t="inlineStr">
        <is>
          <t>a partir de 2008</t>
        </is>
      </c>
      <c r="W12" s="24" t="inlineStr">
        <is>
          <t>a partir de 2008</t>
        </is>
      </c>
      <c r="X12" s="24" t="inlineStr">
        <is>
          <t>a partir de 2008</t>
        </is>
      </c>
      <c r="Y12" s="24" t="inlineStr">
        <is>
          <t>a partir de 2008</t>
        </is>
      </c>
      <c r="Z12" s="24" t="inlineStr">
        <is>
          <t>a partir de 2008</t>
        </is>
      </c>
      <c r="AA12" s="24" t="inlineStr">
        <is>
          <t>a partir de 2008</t>
        </is>
      </c>
      <c r="AB12" s="24" t="inlineStr">
        <is>
          <t>a partir de 2008</t>
        </is>
      </c>
      <c r="AC12" s="24" t="inlineStr">
        <is>
          <t>a partir de 2008</t>
        </is>
      </c>
      <c r="AD12" s="24" t="inlineStr">
        <is>
          <t>a partir de 2008</t>
        </is>
      </c>
      <c r="AE12" s="24" t="inlineStr">
        <is>
          <t>a partir de 2008</t>
        </is>
      </c>
      <c r="AF12" s="24" t="inlineStr">
        <is>
          <t>a partir de 2008</t>
        </is>
      </c>
      <c r="AG12" s="24" t="inlineStr">
        <is>
          <t>a partir de 2008</t>
        </is>
      </c>
      <c r="AH12" s="24" t="inlineStr">
        <is>
          <t>a partir de 2008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4" customWidth="1" min="5" max="5"/>
    <col width="12" customWidth="1" min="6" max="6"/>
    <col width="16" customWidth="1" min="7" max="7"/>
    <col width="14" customWidth="1" min="8" max="8"/>
  </cols>
  <sheetData>
    <row r="1">
      <c r="A1" s="4" t="inlineStr">
        <is>
          <t>Identidade anual — Δ(DBGG/PIB) = juros + primário + efeito PIB + demais</t>
        </is>
      </c>
    </row>
    <row r="2">
      <c r="A2" s="19" t="inlineStr">
        <is>
          <t>24 de 24 anos com identidade fechada (|resíduo da soma| ≤ 0.05 p.p.). O «Demais» já é o resíduo econômico; esta coluna só confere a álgebra.</t>
        </is>
      </c>
    </row>
    <row r="4">
      <c r="A4" s="6" t="inlineStr">
        <is>
          <t>Ano</t>
        </is>
      </c>
      <c r="B4" s="6" t="inlineStr">
        <is>
          <t>Juros nominais</t>
        </is>
      </c>
      <c r="C4" s="6" t="inlineStr">
        <is>
          <t>Primário</t>
        </is>
      </c>
      <c r="D4" s="6" t="inlineStr">
        <is>
          <t>Efeito do PIB nominal</t>
        </is>
      </c>
      <c r="E4" s="6" t="inlineStr">
        <is>
          <t>Demais fatores</t>
        </is>
      </c>
      <c r="F4" s="6" t="inlineStr">
        <is>
          <t>Soma</t>
        </is>
      </c>
      <c r="G4" s="6" t="inlineStr">
        <is>
          <t>Variação da DBGG/PIB</t>
        </is>
      </c>
      <c r="H4" s="6" t="inlineStr">
        <is>
          <t>Resíduo álgebra</t>
        </is>
      </c>
    </row>
    <row r="5">
      <c r="A5" s="25" t="n">
        <v>1995</v>
      </c>
      <c r="B5" s="26" t="n"/>
      <c r="C5" s="26" t="n"/>
      <c r="D5" s="26" t="n"/>
      <c r="E5" s="26" t="n"/>
      <c r="F5" s="26" t="n"/>
      <c r="G5" s="26" t="n"/>
      <c r="H5" s="26" t="n"/>
    </row>
    <row r="6">
      <c r="A6" s="25" t="n">
        <v>1996</v>
      </c>
      <c r="B6" s="26" t="n"/>
      <c r="C6" s="26" t="n"/>
      <c r="D6" s="26" t="n"/>
      <c r="E6" s="26" t="n"/>
      <c r="F6" s="26" t="n"/>
      <c r="G6" s="26" t="n"/>
      <c r="H6" s="26" t="n"/>
    </row>
    <row r="7">
      <c r="A7" s="25" t="n">
        <v>1997</v>
      </c>
      <c r="B7" s="26" t="n"/>
      <c r="C7" s="26" t="n"/>
      <c r="D7" s="26" t="n"/>
      <c r="E7" s="26" t="n"/>
      <c r="F7" s="26" t="n"/>
      <c r="G7" s="26" t="n"/>
      <c r="H7" s="26" t="n"/>
    </row>
    <row r="8">
      <c r="A8" s="25" t="n">
        <v>1998</v>
      </c>
      <c r="B8" s="26" t="n"/>
      <c r="C8" s="26" t="n"/>
      <c r="D8" s="26" t="n"/>
      <c r="E8" s="26" t="n"/>
      <c r="F8" s="26" t="n"/>
      <c r="G8" s="26" t="n"/>
      <c r="H8" s="26" t="n"/>
    </row>
    <row r="9">
      <c r="A9" s="25" t="n">
        <v>1999</v>
      </c>
      <c r="B9" s="26" t="n">
        <v>7.399999999999999</v>
      </c>
      <c r="C9" s="26" t="n">
        <v>-2.34</v>
      </c>
      <c r="D9" s="26" t="n"/>
      <c r="E9" s="26" t="n"/>
      <c r="F9" s="26" t="n"/>
      <c r="G9" s="26" t="n"/>
      <c r="H9" s="26" t="n"/>
    </row>
    <row r="10">
      <c r="A10" s="25" t="n">
        <v>2000</v>
      </c>
      <c r="B10" s="26" t="n">
        <v>6</v>
      </c>
      <c r="C10" s="26" t="n">
        <v>-2.24</v>
      </c>
      <c r="D10" s="26" t="n"/>
      <c r="E10" s="26" t="n"/>
      <c r="F10" s="26" t="n"/>
      <c r="G10" s="26" t="n"/>
      <c r="H10" s="26" t="n"/>
    </row>
    <row r="11">
      <c r="A11" s="25" t="n">
        <v>2001</v>
      </c>
      <c r="B11" s="26" t="n">
        <v>6.4</v>
      </c>
      <c r="C11" s="26" t="n">
        <v>-2.52</v>
      </c>
      <c r="D11" s="26" t="n"/>
      <c r="E11" s="26" t="n"/>
      <c r="F11" s="26" t="n"/>
      <c r="G11" s="26" t="n"/>
      <c r="H11" s="26" t="n"/>
    </row>
    <row r="12">
      <c r="A12" s="25" t="n">
        <v>2002</v>
      </c>
      <c r="B12" s="26" t="n">
        <v>7.5</v>
      </c>
      <c r="C12" s="26" t="n">
        <v>-2.91</v>
      </c>
      <c r="D12" s="26" t="n"/>
      <c r="E12" s="26" t="n"/>
      <c r="F12" s="26" t="n"/>
      <c r="G12" s="26" t="n"/>
      <c r="H12" s="26" t="n"/>
    </row>
    <row r="13">
      <c r="A13" s="25" t="n">
        <v>2003</v>
      </c>
      <c r="B13" s="26" t="n">
        <v>8.960000000000001</v>
      </c>
      <c r="C13" s="26" t="n">
        <v>-3.07</v>
      </c>
      <c r="D13" s="26" t="n">
        <v>-10.15123132192872</v>
      </c>
      <c r="E13" s="26" t="n">
        <v>-0.3287686780712651</v>
      </c>
      <c r="F13" s="26" t="n">
        <v>-4.589999999999989</v>
      </c>
      <c r="G13" s="26" t="n">
        <v>-4.589999999999989</v>
      </c>
      <c r="H13" s="26" t="n">
        <v>0</v>
      </c>
    </row>
    <row r="14">
      <c r="A14" s="25" t="n">
        <v>2004</v>
      </c>
      <c r="B14" s="26" t="n">
        <v>7.01</v>
      </c>
      <c r="C14" s="26" t="n">
        <v>-3.58</v>
      </c>
      <c r="D14" s="26" t="n">
        <v>-8.759108515934003</v>
      </c>
      <c r="E14" s="26" t="n">
        <v>1.849108515933999</v>
      </c>
      <c r="F14" s="26" t="n">
        <v>-3.480000000000004</v>
      </c>
      <c r="G14" s="26" t="n">
        <v>-3.480000000000004</v>
      </c>
      <c r="H14" s="26" t="n">
        <v>0</v>
      </c>
    </row>
    <row r="15">
      <c r="A15" s="25" t="n">
        <v>2005</v>
      </c>
      <c r="B15" s="26" t="n">
        <v>7.23</v>
      </c>
      <c r="C15" s="26" t="n">
        <v>-3.56</v>
      </c>
      <c r="D15" s="26" t="n">
        <v>-6.67057624294286</v>
      </c>
      <c r="E15" s="26" t="n">
        <v>1.940576242942858</v>
      </c>
      <c r="F15" s="26" t="n">
        <v>-1.060000000000002</v>
      </c>
      <c r="G15" s="26" t="n">
        <v>-1.060000000000002</v>
      </c>
      <c r="H15" s="26" t="n">
        <v>0</v>
      </c>
    </row>
    <row r="16">
      <c r="A16" s="25" t="n">
        <v>2006</v>
      </c>
      <c r="B16" s="26" t="n">
        <v>6.38</v>
      </c>
      <c r="C16" s="26" t="n">
        <v>-2.96</v>
      </c>
      <c r="D16" s="26" t="n">
        <v>-6.639198365568839</v>
      </c>
      <c r="E16" s="26" t="n">
        <v>0.8491983655688351</v>
      </c>
      <c r="F16" s="26" t="n">
        <v>-2.370000000000004</v>
      </c>
      <c r="G16" s="26" t="n">
        <v>-2.370000000000004</v>
      </c>
      <c r="H16" s="26" t="n">
        <v>0</v>
      </c>
    </row>
    <row r="17">
      <c r="A17" s="25" t="n">
        <v>2007</v>
      </c>
      <c r="B17" s="26" t="n">
        <v>5.54</v>
      </c>
      <c r="C17" s="26" t="n">
        <v>-3.31</v>
      </c>
      <c r="D17" s="26" t="n">
        <v>-6.339058346162053</v>
      </c>
      <c r="E17" s="26" t="n">
        <v>5.349058346162055</v>
      </c>
      <c r="F17" s="26" t="n">
        <v>1.240000000000002</v>
      </c>
      <c r="G17" s="26" t="n">
        <v>1.240000000000002</v>
      </c>
      <c r="H17" s="26" t="n">
        <v>0</v>
      </c>
    </row>
    <row r="18">
      <c r="A18" s="25" t="n">
        <v>2008</v>
      </c>
      <c r="B18" s="26" t="n">
        <v>5.61</v>
      </c>
      <c r="C18" s="26" t="n">
        <v>-3.29</v>
      </c>
      <c r="D18" s="26" t="n">
        <v>-7.104861444121658</v>
      </c>
      <c r="E18" s="26" t="n">
        <v>4.044861444121656</v>
      </c>
      <c r="F18" s="26" t="n">
        <v>-0.740000000000002</v>
      </c>
      <c r="G18" s="26" t="n">
        <v>-0.740000000000002</v>
      </c>
      <c r="H18" s="26" t="n">
        <v>0</v>
      </c>
    </row>
    <row r="19">
      <c r="A19" s="25" t="n">
        <v>2009</v>
      </c>
      <c r="B19" s="26" t="n">
        <v>5.140000000000001</v>
      </c>
      <c r="C19" s="26" t="n">
        <v>-1.92</v>
      </c>
      <c r="D19" s="26" t="n">
        <v>-3.749361040856577</v>
      </c>
      <c r="E19" s="26" t="n">
        <v>3.75936104085658</v>
      </c>
      <c r="F19" s="26" t="n">
        <v>3.230000000000004</v>
      </c>
      <c r="G19" s="26" t="n">
        <v>3.230000000000004</v>
      </c>
      <c r="H19" s="26" t="n">
        <v>0</v>
      </c>
    </row>
    <row r="20">
      <c r="A20" s="25" t="n">
        <v>2010</v>
      </c>
      <c r="B20" s="26" t="n">
        <v>5.42</v>
      </c>
      <c r="C20" s="26" t="n">
        <v>-2.57</v>
      </c>
      <c r="D20" s="26" t="n">
        <v>-8.423321349502444</v>
      </c>
      <c r="E20" s="26" t="n">
        <v>-1.866678650497553</v>
      </c>
      <c r="F20" s="26" t="n">
        <v>-7.439999999999998</v>
      </c>
      <c r="G20" s="26" t="n">
        <v>-7.439999999999998</v>
      </c>
      <c r="H20" s="26" t="n">
        <v>0</v>
      </c>
    </row>
    <row r="21">
      <c r="A21" s="25" t="n">
        <v>2011</v>
      </c>
      <c r="B21" s="26" t="n">
        <v>5.8</v>
      </c>
      <c r="C21" s="26" t="n">
        <v>-2.89</v>
      </c>
      <c r="D21" s="26" t="n">
        <v>-5.802737729476086</v>
      </c>
      <c r="E21" s="26" t="n">
        <v>2.392737729476087</v>
      </c>
      <c r="F21" s="26" t="n">
        <v>-0.5</v>
      </c>
      <c r="G21" s="26" t="n">
        <v>-0.5</v>
      </c>
      <c r="H21" s="26" t="n">
        <v>0</v>
      </c>
    </row>
    <row r="22">
      <c r="A22" s="25" t="n">
        <v>2012</v>
      </c>
      <c r="B22" s="26" t="n">
        <v>4.98</v>
      </c>
      <c r="C22" s="26" t="n">
        <v>-2.25</v>
      </c>
      <c r="D22" s="26" t="n">
        <v>-4.668070695112529</v>
      </c>
      <c r="E22" s="26" t="n">
        <v>4.338070695112527</v>
      </c>
      <c r="F22" s="26" t="n">
        <v>2.399999999999999</v>
      </c>
      <c r="G22" s="26" t="n">
        <v>2.399999999999999</v>
      </c>
      <c r="H22" s="26" t="n">
        <v>0</v>
      </c>
    </row>
    <row r="23">
      <c r="A23" s="25" t="n">
        <v>2013</v>
      </c>
      <c r="B23" s="26" t="n">
        <v>5.22</v>
      </c>
      <c r="C23" s="26" t="n">
        <v>-1.75</v>
      </c>
      <c r="D23" s="26" t="n">
        <v>-5.202889128049101</v>
      </c>
      <c r="E23" s="26" t="n">
        <v>-0.3971108719509013</v>
      </c>
      <c r="F23" s="26" t="n">
        <v>-2.130000000000003</v>
      </c>
      <c r="G23" s="26" t="n">
        <v>-2.130000000000003</v>
      </c>
      <c r="H23" s="26" t="n">
        <v>0</v>
      </c>
    </row>
    <row r="24">
      <c r="A24" s="25" t="n">
        <v>2014</v>
      </c>
      <c r="B24" s="26" t="n">
        <v>5.720000000000001</v>
      </c>
      <c r="C24" s="26" t="n">
        <v>0.48</v>
      </c>
      <c r="D24" s="26" t="n">
        <v>-3.989579835655352</v>
      </c>
      <c r="E24" s="26" t="n">
        <v>2.529579835655354</v>
      </c>
      <c r="F24" s="26" t="n">
        <v>4.740000000000002</v>
      </c>
      <c r="G24" s="26" t="n">
        <v>4.740000000000002</v>
      </c>
      <c r="H24" s="26" t="n">
        <v>0</v>
      </c>
    </row>
    <row r="25">
      <c r="A25" s="25" t="n">
        <v>2015</v>
      </c>
      <c r="B25" s="26" t="n">
        <v>8.789999999999999</v>
      </c>
      <c r="C25" s="26" t="n">
        <v>1.77</v>
      </c>
      <c r="D25" s="26" t="n">
        <v>-2.035332062329764</v>
      </c>
      <c r="E25" s="26" t="n">
        <v>0.6953320623297641</v>
      </c>
      <c r="F25" s="26" t="n">
        <v>9.219999999999999</v>
      </c>
      <c r="G25" s="26" t="n">
        <v>9.219999999999999</v>
      </c>
      <c r="H25" s="26" t="n">
        <v>0</v>
      </c>
    </row>
    <row r="26">
      <c r="A26" s="25" t="n">
        <v>2016</v>
      </c>
      <c r="B26" s="26" t="n">
        <v>6.48</v>
      </c>
      <c r="C26" s="26" t="n">
        <v>2.46</v>
      </c>
      <c r="D26" s="26" t="n">
        <v>-2.857871768712694</v>
      </c>
      <c r="E26" s="26" t="n">
        <v>-1.742128231287303</v>
      </c>
      <c r="F26" s="26" t="n">
        <v>4.340000000000004</v>
      </c>
      <c r="G26" s="26" t="n">
        <v>4.340000000000004</v>
      </c>
      <c r="H26" s="26" t="n">
        <v>0</v>
      </c>
    </row>
    <row r="27">
      <c r="A27" s="25" t="n">
        <v>2017</v>
      </c>
      <c r="B27" s="26" t="n">
        <v>6.680000000000001</v>
      </c>
      <c r="C27" s="26" t="n">
        <v>1.68</v>
      </c>
      <c r="D27" s="26" t="n">
        <v>-3.352829132095017</v>
      </c>
      <c r="E27" s="26" t="n">
        <v>-1.127170867904987</v>
      </c>
      <c r="F27" s="26" t="n">
        <v>3.879999999999996</v>
      </c>
      <c r="G27" s="26" t="n">
        <v>3.879999999999996</v>
      </c>
      <c r="H27" s="26" t="n">
        <v>0</v>
      </c>
    </row>
    <row r="28">
      <c r="A28" s="25" t="n">
        <v>2018</v>
      </c>
      <c r="B28" s="26" t="n">
        <v>6.4</v>
      </c>
      <c r="C28" s="26" t="n">
        <v>1.6</v>
      </c>
      <c r="D28" s="26" t="n">
        <v>-4.406502187777198</v>
      </c>
      <c r="E28" s="26" t="n">
        <v>-2.043497812222805</v>
      </c>
      <c r="F28" s="26" t="n">
        <v>1.549999999999997</v>
      </c>
      <c r="G28" s="26" t="n">
        <v>1.549999999999997</v>
      </c>
      <c r="H28" s="26" t="n">
        <v>0</v>
      </c>
    </row>
    <row r="29">
      <c r="A29" s="25" t="n">
        <v>2019</v>
      </c>
      <c r="B29" s="26" t="n">
        <v>5.08</v>
      </c>
      <c r="C29" s="26" t="n">
        <v>0.99</v>
      </c>
      <c r="D29" s="26" t="n">
        <v>-3.921732785627977</v>
      </c>
      <c r="E29" s="26" t="n">
        <v>-2.978267214372022</v>
      </c>
      <c r="F29" s="26" t="n">
        <v>-0.8299999999999983</v>
      </c>
      <c r="G29" s="26" t="n">
        <v>-0.8299999999999983</v>
      </c>
      <c r="H29" s="26" t="n">
        <v>0</v>
      </c>
    </row>
    <row r="30">
      <c r="A30" s="25" t="n">
        <v>2020</v>
      </c>
      <c r="B30" s="26" t="n">
        <v>4.27</v>
      </c>
      <c r="C30" s="26" t="n">
        <v>9.279999999999999</v>
      </c>
      <c r="D30" s="26" t="n">
        <v>-2.156683072704118</v>
      </c>
      <c r="E30" s="26" t="n">
        <v>1.106683072704119</v>
      </c>
      <c r="F30" s="26" t="n">
        <v>12.5</v>
      </c>
      <c r="G30" s="26" t="n">
        <v>12.5</v>
      </c>
      <c r="H30" s="26" t="n">
        <v>0</v>
      </c>
    </row>
    <row r="31">
      <c r="A31" s="25" t="n">
        <v>2021</v>
      </c>
      <c r="B31" s="26" t="n">
        <v>4.760000000000001</v>
      </c>
      <c r="C31" s="26" t="n">
        <v>-0.6900000000000001</v>
      </c>
      <c r="D31" s="26" t="n">
        <v>-13.53033078040714</v>
      </c>
      <c r="E31" s="26" t="n">
        <v>-0.1696692195928566</v>
      </c>
      <c r="F31" s="26" t="n">
        <v>-9.629999999999997</v>
      </c>
      <c r="G31" s="26" t="n">
        <v>-9.629999999999997</v>
      </c>
      <c r="H31" s="26" t="n">
        <v>0</v>
      </c>
    </row>
    <row r="32">
      <c r="A32" s="25" t="n">
        <v>2022</v>
      </c>
      <c r="B32" s="26" t="n">
        <v>5.61</v>
      </c>
      <c r="C32" s="26" t="n">
        <v>-1.19</v>
      </c>
      <c r="D32" s="26" t="n">
        <v>-8.187872499620944</v>
      </c>
      <c r="E32" s="26" t="n">
        <v>-1.862127500379051</v>
      </c>
      <c r="F32" s="26" t="n">
        <v>-5.629999999999995</v>
      </c>
      <c r="G32" s="26" t="n">
        <v>-5.629999999999995</v>
      </c>
      <c r="H32" s="26" t="n">
        <v>0</v>
      </c>
    </row>
    <row r="33">
      <c r="A33" s="25" t="n">
        <v>2023</v>
      </c>
      <c r="B33" s="26" t="n">
        <v>5.92</v>
      </c>
      <c r="C33" s="26" t="n">
        <v>2.25</v>
      </c>
      <c r="D33" s="26" t="n">
        <v>-5.657111599527701</v>
      </c>
      <c r="E33" s="26" t="n">
        <v>-0.3628884004723076</v>
      </c>
      <c r="F33" s="26" t="n">
        <v>2.149999999999991</v>
      </c>
      <c r="G33" s="26" t="n">
        <v>2.149999999999991</v>
      </c>
      <c r="H33" s="26" t="n">
        <v>0</v>
      </c>
    </row>
    <row r="34">
      <c r="A34" s="25" t="n">
        <v>2024</v>
      </c>
      <c r="B34" s="26" t="n">
        <v>6.27</v>
      </c>
      <c r="C34" s="26" t="n">
        <v>0.32</v>
      </c>
      <c r="D34" s="26" t="n">
        <v>-5.239291928894025</v>
      </c>
      <c r="E34" s="26" t="n">
        <v>1.089291928894023</v>
      </c>
      <c r="F34" s="26" t="n">
        <v>2.439999999999998</v>
      </c>
      <c r="G34" s="26" t="n">
        <v>2.439999999999998</v>
      </c>
      <c r="H34" s="26" t="n">
        <v>0</v>
      </c>
    </row>
    <row r="35">
      <c r="A35" s="25" t="n">
        <v>2025</v>
      </c>
      <c r="B35" s="26" t="n">
        <v>7.68</v>
      </c>
      <c r="C35" s="26" t="n">
        <v>0.38</v>
      </c>
      <c r="D35" s="26" t="n">
        <v>-5.743735782151178</v>
      </c>
      <c r="E35" s="26" t="n">
        <v>0.05373578215118258</v>
      </c>
      <c r="F35" s="26" t="n">
        <v>2.370000000000005</v>
      </c>
      <c r="G35" s="26" t="n">
        <v>2.370000000000005</v>
      </c>
      <c r="H35" s="26" t="n">
        <v>0</v>
      </c>
    </row>
    <row r="36">
      <c r="A36" s="25" t="n">
        <v>2026</v>
      </c>
      <c r="B36" s="26" t="n">
        <v>4.86638997228795</v>
      </c>
      <c r="C36" s="26" t="n">
        <v>0.5141588894485943</v>
      </c>
      <c r="D36" s="26" t="n">
        <v>-3.133982950680176</v>
      </c>
      <c r="E36" s="26" t="n">
        <v>1.623434088943635</v>
      </c>
      <c r="F36" s="26" t="n">
        <v>3.870000000000004</v>
      </c>
      <c r="G36" s="26" t="n">
        <v>3.870000000000004</v>
      </c>
      <c r="H36" s="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Contribuição anual dos fatores (p.p. do PIB)</t>
        </is>
      </c>
    </row>
    <row r="3">
      <c r="A3" s="6" t="inlineStr">
        <is>
          <t>Ano</t>
        </is>
      </c>
      <c r="B3" s="6" t="inlineStr">
        <is>
          <t>Juros nominais</t>
        </is>
      </c>
      <c r="C3" s="6" t="inlineStr">
        <is>
          <t>Primário</t>
        </is>
      </c>
      <c r="D3" s="6" t="inlineStr">
        <is>
          <t>Efeito do PIB nominal</t>
        </is>
      </c>
      <c r="E3" s="6" t="inlineStr">
        <is>
          <t>Demais fatores</t>
        </is>
      </c>
    </row>
    <row r="4">
      <c r="A4" s="21" t="n">
        <v>2003</v>
      </c>
      <c r="B4" s="8" t="n">
        <v>8.960000000000001</v>
      </c>
      <c r="C4" s="8" t="n">
        <v>-3.07</v>
      </c>
      <c r="D4" s="8" t="n">
        <v>-10.15123132192872</v>
      </c>
      <c r="E4" s="8" t="n">
        <v>-0.3287686780712651</v>
      </c>
    </row>
    <row r="5">
      <c r="A5" s="21" t="n">
        <v>2004</v>
      </c>
      <c r="B5" s="8" t="n">
        <v>7.01</v>
      </c>
      <c r="C5" s="8" t="n">
        <v>-3.58</v>
      </c>
      <c r="D5" s="8" t="n">
        <v>-8.759108515934003</v>
      </c>
      <c r="E5" s="8" t="n">
        <v>1.849108515933999</v>
      </c>
    </row>
    <row r="6">
      <c r="A6" s="21" t="n">
        <v>2005</v>
      </c>
      <c r="B6" s="8" t="n">
        <v>7.23</v>
      </c>
      <c r="C6" s="8" t="n">
        <v>-3.56</v>
      </c>
      <c r="D6" s="8" t="n">
        <v>-6.67057624294286</v>
      </c>
      <c r="E6" s="8" t="n">
        <v>1.940576242942858</v>
      </c>
    </row>
    <row r="7">
      <c r="A7" s="21" t="n">
        <v>2006</v>
      </c>
      <c r="B7" s="8" t="n">
        <v>6.38</v>
      </c>
      <c r="C7" s="8" t="n">
        <v>-2.96</v>
      </c>
      <c r="D7" s="8" t="n">
        <v>-6.639198365568839</v>
      </c>
      <c r="E7" s="8" t="n">
        <v>0.8491983655688351</v>
      </c>
    </row>
    <row r="8">
      <c r="A8" s="21" t="n">
        <v>2007</v>
      </c>
      <c r="B8" s="8" t="n">
        <v>5.54</v>
      </c>
      <c r="C8" s="8" t="n">
        <v>-3.31</v>
      </c>
      <c r="D8" s="8" t="n">
        <v>-6.339058346162053</v>
      </c>
      <c r="E8" s="8" t="n">
        <v>5.349058346162055</v>
      </c>
    </row>
    <row r="9">
      <c r="A9" s="21" t="n">
        <v>2008</v>
      </c>
      <c r="B9" s="8" t="n">
        <v>5.61</v>
      </c>
      <c r="C9" s="8" t="n">
        <v>-3.29</v>
      </c>
      <c r="D9" s="8" t="n">
        <v>-7.104861444121658</v>
      </c>
      <c r="E9" s="8" t="n">
        <v>4.044861444121656</v>
      </c>
    </row>
    <row r="10">
      <c r="A10" s="21" t="n">
        <v>2009</v>
      </c>
      <c r="B10" s="8" t="n">
        <v>5.140000000000001</v>
      </c>
      <c r="C10" s="8" t="n">
        <v>-1.92</v>
      </c>
      <c r="D10" s="8" t="n">
        <v>-3.749361040856577</v>
      </c>
      <c r="E10" s="8" t="n">
        <v>3.75936104085658</v>
      </c>
    </row>
    <row r="11">
      <c r="A11" s="21" t="n">
        <v>2010</v>
      </c>
      <c r="B11" s="8" t="n">
        <v>5.42</v>
      </c>
      <c r="C11" s="8" t="n">
        <v>-2.57</v>
      </c>
      <c r="D11" s="8" t="n">
        <v>-8.423321349502444</v>
      </c>
      <c r="E11" s="8" t="n">
        <v>-1.866678650497553</v>
      </c>
    </row>
    <row r="12">
      <c r="A12" s="21" t="n">
        <v>2011</v>
      </c>
      <c r="B12" s="8" t="n">
        <v>5.8</v>
      </c>
      <c r="C12" s="8" t="n">
        <v>-2.89</v>
      </c>
      <c r="D12" s="8" t="n">
        <v>-5.802737729476086</v>
      </c>
      <c r="E12" s="8" t="n">
        <v>2.392737729476087</v>
      </c>
    </row>
    <row r="13">
      <c r="A13" s="21" t="n">
        <v>2012</v>
      </c>
      <c r="B13" s="8" t="n">
        <v>4.98</v>
      </c>
      <c r="C13" s="8" t="n">
        <v>-2.25</v>
      </c>
      <c r="D13" s="8" t="n">
        <v>-4.668070695112529</v>
      </c>
      <c r="E13" s="8" t="n">
        <v>4.338070695112527</v>
      </c>
    </row>
    <row r="14">
      <c r="A14" s="21" t="n">
        <v>2013</v>
      </c>
      <c r="B14" s="8" t="n">
        <v>5.22</v>
      </c>
      <c r="C14" s="8" t="n">
        <v>-1.75</v>
      </c>
      <c r="D14" s="8" t="n">
        <v>-5.202889128049101</v>
      </c>
      <c r="E14" s="8" t="n">
        <v>-0.3971108719509013</v>
      </c>
    </row>
    <row r="15">
      <c r="A15" s="21" t="n">
        <v>2014</v>
      </c>
      <c r="B15" s="8" t="n">
        <v>5.720000000000001</v>
      </c>
      <c r="C15" s="8" t="n">
        <v>0.48</v>
      </c>
      <c r="D15" s="8" t="n">
        <v>-3.989579835655352</v>
      </c>
      <c r="E15" s="8" t="n">
        <v>2.529579835655354</v>
      </c>
    </row>
    <row r="16">
      <c r="A16" s="21" t="n">
        <v>2015</v>
      </c>
      <c r="B16" s="8" t="n">
        <v>8.789999999999999</v>
      </c>
      <c r="C16" s="8" t="n">
        <v>1.77</v>
      </c>
      <c r="D16" s="8" t="n">
        <v>-2.035332062329764</v>
      </c>
      <c r="E16" s="8" t="n">
        <v>0.6953320623297641</v>
      </c>
    </row>
    <row r="17">
      <c r="A17" s="21" t="n">
        <v>2016</v>
      </c>
      <c r="B17" s="8" t="n">
        <v>6.48</v>
      </c>
      <c r="C17" s="8" t="n">
        <v>2.46</v>
      </c>
      <c r="D17" s="8" t="n">
        <v>-2.857871768712694</v>
      </c>
      <c r="E17" s="8" t="n">
        <v>-1.742128231287303</v>
      </c>
    </row>
    <row r="18">
      <c r="A18" s="21" t="n">
        <v>2017</v>
      </c>
      <c r="B18" s="8" t="n">
        <v>6.680000000000001</v>
      </c>
      <c r="C18" s="8" t="n">
        <v>1.68</v>
      </c>
      <c r="D18" s="8" t="n">
        <v>-3.352829132095017</v>
      </c>
      <c r="E18" s="8" t="n">
        <v>-1.127170867904987</v>
      </c>
    </row>
    <row r="19">
      <c r="A19" s="21" t="n">
        <v>2018</v>
      </c>
      <c r="B19" s="8" t="n">
        <v>6.4</v>
      </c>
      <c r="C19" s="8" t="n">
        <v>1.6</v>
      </c>
      <c r="D19" s="8" t="n">
        <v>-4.406502187777198</v>
      </c>
      <c r="E19" s="8" t="n">
        <v>-2.043497812222805</v>
      </c>
    </row>
    <row r="20">
      <c r="A20" s="21" t="n">
        <v>2019</v>
      </c>
      <c r="B20" s="8" t="n">
        <v>5.08</v>
      </c>
      <c r="C20" s="8" t="n">
        <v>0.99</v>
      </c>
      <c r="D20" s="8" t="n">
        <v>-3.921732785627977</v>
      </c>
      <c r="E20" s="8" t="n">
        <v>-2.978267214372022</v>
      </c>
    </row>
    <row r="21">
      <c r="A21" s="21" t="n">
        <v>2020</v>
      </c>
      <c r="B21" s="8" t="n">
        <v>4.27</v>
      </c>
      <c r="C21" s="8" t="n">
        <v>9.279999999999999</v>
      </c>
      <c r="D21" s="8" t="n">
        <v>-2.156683072704118</v>
      </c>
      <c r="E21" s="8" t="n">
        <v>1.106683072704119</v>
      </c>
    </row>
    <row r="22">
      <c r="A22" s="21" t="n">
        <v>2021</v>
      </c>
      <c r="B22" s="8" t="n">
        <v>4.760000000000001</v>
      </c>
      <c r="C22" s="8" t="n">
        <v>-0.6900000000000001</v>
      </c>
      <c r="D22" s="8" t="n">
        <v>-13.53033078040714</v>
      </c>
      <c r="E22" s="8" t="n">
        <v>-0.1696692195928566</v>
      </c>
    </row>
    <row r="23">
      <c r="A23" s="21" t="n">
        <v>2022</v>
      </c>
      <c r="B23" s="8" t="n">
        <v>5.61</v>
      </c>
      <c r="C23" s="8" t="n">
        <v>-1.19</v>
      </c>
      <c r="D23" s="8" t="n">
        <v>-8.187872499620944</v>
      </c>
      <c r="E23" s="8" t="n">
        <v>-1.862127500379051</v>
      </c>
    </row>
    <row r="24">
      <c r="A24" s="21" t="n">
        <v>2023</v>
      </c>
      <c r="B24" s="8" t="n">
        <v>5.92</v>
      </c>
      <c r="C24" s="8" t="n">
        <v>2.25</v>
      </c>
      <c r="D24" s="8" t="n">
        <v>-5.657111599527701</v>
      </c>
      <c r="E24" s="8" t="n">
        <v>-0.3628884004723076</v>
      </c>
    </row>
    <row r="25">
      <c r="A25" s="21" t="n">
        <v>2024</v>
      </c>
      <c r="B25" s="8" t="n">
        <v>6.27</v>
      </c>
      <c r="C25" s="8" t="n">
        <v>0.32</v>
      </c>
      <c r="D25" s="8" t="n">
        <v>-5.239291928894025</v>
      </c>
      <c r="E25" s="8" t="n">
        <v>1.089291928894023</v>
      </c>
    </row>
    <row r="26">
      <c r="A26" s="21" t="n">
        <v>2025</v>
      </c>
      <c r="B26" s="8" t="n">
        <v>7.68</v>
      </c>
      <c r="C26" s="8" t="n">
        <v>0.38</v>
      </c>
      <c r="D26" s="8" t="n">
        <v>-5.743735782151178</v>
      </c>
      <c r="E26" s="8" t="n">
        <v>0.05373578215118258</v>
      </c>
    </row>
    <row r="27">
      <c r="A27" s="21" t="n">
        <v>2026</v>
      </c>
      <c r="B27" s="8" t="n">
        <v>4.86638997228795</v>
      </c>
      <c r="C27" s="8" t="n">
        <v>0.5141588894485943</v>
      </c>
      <c r="D27" s="8" t="n">
        <v>-3.133982950680176</v>
      </c>
      <c r="E27" s="8" t="n">
        <v>1.623434088943635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2026-09-06T02:51:55Z</dcterms:created>
  <dcterms:modified xsi:type="dcterms:W3CDTF">2026-09-06T02:51:55Z</dcterms:modified>
</cp:coreProperties>
</file>