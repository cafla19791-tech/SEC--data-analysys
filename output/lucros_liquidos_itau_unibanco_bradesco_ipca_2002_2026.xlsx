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ucros_IPCA" sheetId="1" state="visible" r:id="rId1"/>
    <sheet name="IPCA" sheetId="2" state="visible" r:id="rId2"/>
    <sheet name="Fontes_e_criterio" sheetId="3" state="visible" r:id="rId3"/>
  </sheets>
  <definedNames>
    <definedName name="_xlnm._FilterDatabase" localSheetId="0" hidden="1">'Lucros_IPCA'!$A$4:$P$29</definedName>
    <definedName name="_xlnm.Print_Titles" localSheetId="0">'Lucros_IPCA'!$1:$4</definedName>
    <definedName name="_xlnm._FilterDatabase" localSheetId="1" hidden="1">'IPCA'!$A$4:$D$301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0"/>
    <numFmt numFmtId="165" formatCode="0.0000"/>
    <numFmt numFmtId="166" formatCode="0.00000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1B3A4B"/>
      <sz val="10"/>
    </font>
    <font>
      <name val="Calibri"/>
      <b val="1"/>
      <color rgb="00FFFFFF"/>
      <sz val="10"/>
    </font>
    <font>
      <name val="Calibri"/>
      <b val="1"/>
      <color rgb="00000000"/>
      <sz val="11"/>
    </font>
    <font>
      <name val="Calibri"/>
      <color rgb="001A1A1A"/>
      <sz val="10"/>
    </font>
    <font>
      <name val="Calibri"/>
      <b val="1"/>
      <color rgb="00FFFFFF"/>
      <sz val="11"/>
    </font>
    <font>
      <name val="Calibri"/>
      <b val="1"/>
      <color rgb="001B3A4B"/>
      <sz val="12"/>
    </font>
    <font>
      <name val="Calibri"/>
      <b val="1"/>
      <color rgb="00FFFFFF"/>
      <sz val="14"/>
    </font>
    <font>
      <name val="Calibri"/>
      <color rgb="00000000"/>
      <sz val="10"/>
    </font>
  </fonts>
  <fills count="14">
    <fill>
      <patternFill/>
    </fill>
    <fill>
      <patternFill patternType="gray125"/>
    </fill>
    <fill>
      <patternFill patternType="solid">
        <fgColor rgb="001B3A4B"/>
      </patternFill>
    </fill>
    <fill>
      <patternFill patternType="solid">
        <fgColor rgb="00EC7000"/>
      </patternFill>
    </fill>
    <fill>
      <patternFill patternType="solid">
        <fgColor rgb="001F4E79"/>
      </patternFill>
    </fill>
    <fill>
      <patternFill patternType="solid">
        <fgColor rgb="00C45C26"/>
      </patternFill>
    </fill>
    <fill>
      <patternFill patternType="solid">
        <fgColor rgb="00CC092F"/>
      </patternFill>
    </fill>
    <fill>
      <patternFill patternType="solid">
        <fgColor rgb="007A4E12"/>
      </patternFill>
    </fill>
    <fill>
      <patternFill patternType="solid">
        <fgColor rgb="000F6E56"/>
      </patternFill>
    </fill>
    <fill>
      <patternFill patternType="solid">
        <fgColor rgb="00FFFFFF"/>
      </patternFill>
    </fill>
    <fill>
      <patternFill patternType="solid">
        <fgColor rgb="00F4F7FB"/>
      </patternFill>
    </fill>
    <fill>
      <patternFill patternType="solid">
        <fgColor rgb="00FFF6E8"/>
      </patternFill>
    </fill>
    <fill>
      <patternFill patternType="solid">
        <fgColor rgb="00F7F4EF"/>
      </patternFill>
    </fill>
    <fill>
      <patternFill patternType="solid">
        <fgColor rgb="00E5F6F1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/>
    </xf>
    <xf numFmtId="0" fontId="5" fillId="9" borderId="1" pivotButton="0" quotePrefix="0" xfId="0"/>
    <xf numFmtId="164" fontId="5" fillId="9" borderId="1" pivotButton="0" quotePrefix="0" xfId="0"/>
    <xf numFmtId="165" fontId="5" fillId="9" borderId="1" pivotButton="0" quotePrefix="0" xfId="0"/>
    <xf numFmtId="2" fontId="5" fillId="9" borderId="1" pivotButton="0" quotePrefix="0" xfId="0"/>
    <xf numFmtId="0" fontId="5" fillId="9" borderId="1" applyAlignment="1" pivotButton="0" quotePrefix="0" xfId="0">
      <alignment vertical="center" wrapText="1"/>
    </xf>
    <xf numFmtId="0" fontId="5" fillId="10" borderId="1" applyAlignment="1" pivotButton="0" quotePrefix="0" xfId="0">
      <alignment horizontal="center"/>
    </xf>
    <xf numFmtId="0" fontId="5" fillId="10" borderId="1" pivotButton="0" quotePrefix="0" xfId="0"/>
    <xf numFmtId="164" fontId="5" fillId="10" borderId="1" pivotButton="0" quotePrefix="0" xfId="0"/>
    <xf numFmtId="165" fontId="5" fillId="10" borderId="1" pivotButton="0" quotePrefix="0" xfId="0"/>
    <xf numFmtId="2" fontId="5" fillId="10" borderId="1" pivotButton="0" quotePrefix="0" xfId="0"/>
    <xf numFmtId="0" fontId="5" fillId="10" borderId="1" applyAlignment="1" pivotButton="0" quotePrefix="0" xfId="0">
      <alignment vertical="center" wrapText="1"/>
    </xf>
    <xf numFmtId="0" fontId="5" fillId="11" borderId="1" applyAlignment="1" pivotButton="0" quotePrefix="0" xfId="0">
      <alignment horizontal="center"/>
    </xf>
    <xf numFmtId="0" fontId="5" fillId="11" borderId="1" pivotButton="0" quotePrefix="0" xfId="0"/>
    <xf numFmtId="164" fontId="5" fillId="11" borderId="1" pivotButton="0" quotePrefix="0" xfId="0"/>
    <xf numFmtId="165" fontId="5" fillId="11" borderId="1" pivotButton="0" quotePrefix="0" xfId="0"/>
    <xf numFmtId="2" fontId="5" fillId="11" borderId="1" pivotButton="0" quotePrefix="0" xfId="0"/>
    <xf numFmtId="0" fontId="5" fillId="11" borderId="1" applyAlignment="1" pivotButton="0" quotePrefix="0" xfId="0">
      <alignment vertical="center" wrapText="1"/>
    </xf>
    <xf numFmtId="0" fontId="5" fillId="12" borderId="1" applyAlignment="1" pivotButton="0" quotePrefix="0" xfId="0">
      <alignment horizontal="center"/>
    </xf>
    <xf numFmtId="0" fontId="5" fillId="12" borderId="1" pivotButton="0" quotePrefix="0" xfId="0"/>
    <xf numFmtId="164" fontId="5" fillId="12" borderId="1" pivotButton="0" quotePrefix="0" xfId="0"/>
    <xf numFmtId="165" fontId="5" fillId="12" borderId="1" pivotButton="0" quotePrefix="0" xfId="0"/>
    <xf numFmtId="2" fontId="5" fillId="12" borderId="1" pivotButton="0" quotePrefix="0" xfId="0"/>
    <xf numFmtId="0" fontId="5" fillId="12" borderId="1" applyAlignment="1" pivotButton="0" quotePrefix="0" xfId="0">
      <alignment vertical="center" wrapText="1"/>
    </xf>
    <xf numFmtId="0" fontId="3" fillId="2" borderId="1" pivotButton="0" quotePrefix="0" xfId="0"/>
    <xf numFmtId="164" fontId="3" fillId="2" borderId="1" pivotButton="0" quotePrefix="0" xfId="0"/>
    <xf numFmtId="0" fontId="3" fillId="2" borderId="1" applyAlignment="1" pivotButton="0" quotePrefix="0" xfId="0">
      <alignment vertical="center" wrapText="1"/>
    </xf>
    <xf numFmtId="0" fontId="7" fillId="0" borderId="0" pivotButton="0" quotePrefix="0" xfId="0"/>
    <xf numFmtId="0" fontId="0" fillId="0" borderId="0" applyAlignment="1" pivotButton="0" quotePrefix="0" xfId="0">
      <alignment vertical="top" wrapText="1"/>
    </xf>
    <xf numFmtId="0" fontId="8" fillId="8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  <xf numFmtId="166" fontId="0" fillId="0" borderId="0" pivotButton="0" quotePrefix="0" xfId="0"/>
    <xf numFmtId="0" fontId="6" fillId="8" borderId="1" pivotButton="0" quotePrefix="0" xfId="0"/>
    <xf numFmtId="0" fontId="9" fillId="13" borderId="1" pivotButton="0" quotePrefix="0" xfId="0"/>
    <xf numFmtId="2" fontId="9" fillId="13" borderId="1" pivotButton="0" quotePrefix="0" xfId="0"/>
    <xf numFmtId="166" fontId="9" fillId="13" borderId="1" pivotButton="0" quotePrefix="0" xfId="0"/>
    <xf numFmtId="0" fontId="9" fillId="0" borderId="1" pivotButton="0" quotePrefix="0" xfId="0"/>
    <xf numFmtId="2" fontId="9" fillId="0" borderId="1" pivotButton="0" quotePrefix="0" xfId="0"/>
    <xf numFmtId="166" fontId="9" fillId="0" borderId="1" pivotButton="0" quotePrefix="0" xfId="0"/>
    <xf numFmtId="0" fontId="8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Lucro líquido em R$ de 31/08/2026</a:t>
            </a:r>
          </a:p>
        </rich>
      </tx>
    </title>
    <plotArea>
      <lineChart>
        <grouping val="standard"/>
        <ser>
          <idx val="0"/>
          <order val="0"/>
          <tx>
            <strRef>
              <f>'Lucros_IPCA'!N4</f>
            </strRef>
          </tx>
          <spPr>
            <a:ln>
              <a:solidFill>
                <a:srgbClr val="CC092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'Lucros_IPCA'!$A$5:$A$28</f>
            </numRef>
          </cat>
          <val>
            <numRef>
              <f>'Lucros_IPCA'!$N$5:$N$28</f>
            </numRef>
          </val>
        </ser>
        <ser>
          <idx val="1"/>
          <order val="1"/>
          <tx>
            <strRef>
              <f>'Lucros_IPCA'!O4</f>
            </strRef>
          </tx>
          <spPr>
            <a:ln>
              <a:solidFill>
                <a:srgbClr val="EC7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'Lucros_IPCA'!$A$5:$A$28</f>
            </numRef>
          </cat>
          <val>
            <numRef>
              <f>'Lucros_IPCA'!$O$5:$O$28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 milhões de 31/08/2026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36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35"/>
  <sheetViews>
    <sheetView showGridLines="0"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18" customWidth="1" min="5" max="5"/>
    <col width="22" customWidth="1" min="6" max="6"/>
    <col width="18" customWidth="1" min="7" max="7"/>
    <col width="20" customWidth="1" min="8" max="8"/>
    <col width="14" customWidth="1" min="9" max="9"/>
    <col width="18" customWidth="1" min="10" max="10"/>
    <col width="20" customWidth="1" min="11" max="11"/>
    <col width="22" customWidth="1" min="12" max="12"/>
    <col width="26" customWidth="1" min="13" max="13"/>
    <col width="22" customWidth="1" min="14" max="14"/>
    <col width="24" customWidth="1" min="15" max="15"/>
    <col width="62" customWidth="1" min="16" max="16"/>
  </cols>
  <sheetData>
    <row r="1" ht="28" customHeight="1">
      <c r="A1" s="1" t="inlineStr">
        <is>
          <t>Lucro líquido contábil — Itaú, Unibanco, Itaú Unibanco e Bradesco — atualizado pelo IPCA para 31/08/2026</t>
        </is>
      </c>
    </row>
    <row r="2" ht="32" customHeight="1">
      <c r="A2" s="2" t="inlineStr">
        <is>
          <t>Valores em R$ milhões. Data-base do exercício anual: 31/12. Índice de chegada: IPCA de 08/2026 (SGS 433, Bacen). 2026 é o 1º semestre e não entra na soma. Grupo Itaú = Itaú + Unibanco até 2007 e Itaú Unibanco de 2008 em diante.</t>
        </is>
      </c>
    </row>
    <row r="4" ht="36" customHeight="1">
      <c r="A4" s="3" t="inlineStr">
        <is>
          <t>Ano</t>
        </is>
      </c>
      <c r="B4" s="3" t="inlineStr">
        <is>
          <t>Data-base</t>
        </is>
      </c>
      <c r="C4" s="3" t="inlineStr">
        <is>
          <t>Cobertura</t>
        </is>
      </c>
      <c r="D4" s="4" t="inlineStr">
        <is>
          <t>Itaú nominal</t>
        </is>
      </c>
      <c r="E4" s="5" t="inlineStr">
        <is>
          <t>Unibanco nominal</t>
        </is>
      </c>
      <c r="F4" s="6" t="inlineStr">
        <is>
          <t>Itaú Unibanco nominal</t>
        </is>
      </c>
      <c r="G4" s="7" t="inlineStr">
        <is>
          <t>Bradesco nominal</t>
        </is>
      </c>
      <c r="H4" s="8" t="inlineStr">
        <is>
          <t>Grupo Itaú nominal</t>
        </is>
      </c>
      <c r="I4" s="9" t="inlineStr">
        <is>
          <t>Fator IPCA</t>
        </is>
      </c>
      <c r="J4" s="9" t="inlineStr">
        <is>
          <t>IPCA acumulado %</t>
        </is>
      </c>
      <c r="K4" s="4" t="inlineStr">
        <is>
          <t>Itaú em 31/08/2026</t>
        </is>
      </c>
      <c r="L4" s="5" t="inlineStr">
        <is>
          <t>Unibanco em 31/08/2026</t>
        </is>
      </c>
      <c r="M4" s="6" t="inlineStr">
        <is>
          <t>Itaú Unibanco em 31/08/2026</t>
        </is>
      </c>
      <c r="N4" s="7" t="inlineStr">
        <is>
          <t>Bradesco em 31/08/2026</t>
        </is>
      </c>
      <c r="O4" s="8" t="inlineStr">
        <is>
          <t>Grupo Itaú em 31/08/2026</t>
        </is>
      </c>
      <c r="P4" s="3" t="inlineStr">
        <is>
          <t>Observação</t>
        </is>
      </c>
    </row>
    <row r="5" ht="32" customHeight="1">
      <c r="A5" s="10" t="n">
        <v>2002</v>
      </c>
      <c r="B5" s="11" t="inlineStr">
        <is>
          <t>31/12/2002</t>
        </is>
      </c>
      <c r="C5" s="10" t="inlineStr">
        <is>
          <t>Ano completo</t>
        </is>
      </c>
      <c r="D5" s="12" t="n">
        <v>2376.723</v>
      </c>
      <c r="E5" s="12" t="n">
        <v>1010</v>
      </c>
      <c r="F5" s="12" t="n"/>
      <c r="G5" s="12" t="n">
        <v>2023</v>
      </c>
      <c r="H5" s="12" t="n">
        <v>3386.723</v>
      </c>
      <c r="I5" s="13" t="n">
        <v>3.74222928270509</v>
      </c>
      <c r="J5" s="14" t="n">
        <v>274.222928270509</v>
      </c>
      <c r="K5" s="12" t="n">
        <v>8894.24240747869</v>
      </c>
      <c r="L5" s="12" t="n">
        <v>3779.651575532142</v>
      </c>
      <c r="M5" s="12" t="n"/>
      <c r="N5" s="12" t="n">
        <v>7570.529838912398</v>
      </c>
      <c r="O5" s="12" t="n">
        <v>12673.89398301083</v>
      </c>
      <c r="P5" s="15" t="inlineStr">
        <is>
          <t>Itaú e Unibanco: DRE consolidada BR GAAP. Bradesco: release, net income de R$ 2.023 milhões.</t>
        </is>
      </c>
    </row>
    <row r="6" ht="18" customHeight="1">
      <c r="A6" s="16" t="n">
        <v>2003</v>
      </c>
      <c r="B6" s="17" t="inlineStr">
        <is>
          <t>31/12/2003</t>
        </is>
      </c>
      <c r="C6" s="16" t="inlineStr">
        <is>
          <t>Ano completo</t>
        </is>
      </c>
      <c r="D6" s="18" t="n">
        <v>3151.82</v>
      </c>
      <c r="E6" s="18" t="n">
        <v>1052.346</v>
      </c>
      <c r="F6" s="18" t="n"/>
      <c r="G6" s="18" t="n">
        <v>2306</v>
      </c>
      <c r="H6" s="18" t="n">
        <v>4204.166</v>
      </c>
      <c r="I6" s="19" t="n">
        <v>3.423816118553435</v>
      </c>
      <c r="J6" s="20" t="n">
        <v>242.3816118553436</v>
      </c>
      <c r="K6" s="18" t="n">
        <v>10791.25211877909</v>
      </c>
      <c r="L6" s="18" t="n">
        <v>3603.039197095234</v>
      </c>
      <c r="M6" s="18" t="n"/>
      <c r="N6" s="18" t="n">
        <v>7895.319969384223</v>
      </c>
      <c r="O6" s="18" t="n">
        <v>14394.29131587432</v>
      </c>
      <c r="P6" s="21" t="inlineStr"/>
    </row>
    <row r="7" ht="18" customHeight="1">
      <c r="A7" s="10" t="n">
        <v>2004</v>
      </c>
      <c r="B7" s="11" t="inlineStr">
        <is>
          <t>31/12/2004</t>
        </is>
      </c>
      <c r="C7" s="10" t="inlineStr">
        <is>
          <t>Ano completo</t>
        </is>
      </c>
      <c r="D7" s="12" t="n">
        <v>3775.616</v>
      </c>
      <c r="E7" s="12" t="n">
        <v>1283.208</v>
      </c>
      <c r="F7" s="12" t="n"/>
      <c r="G7" s="12" t="n">
        <v>3060</v>
      </c>
      <c r="H7" s="12" t="n">
        <v>5058.824000000001</v>
      </c>
      <c r="I7" s="13" t="n">
        <v>3.181966191726881</v>
      </c>
      <c r="J7" s="14" t="n">
        <v>218.1966191726881</v>
      </c>
      <c r="K7" s="12" t="n">
        <v>12013.88246494308</v>
      </c>
      <c r="L7" s="12" t="n">
        <v>4083.124472953467</v>
      </c>
      <c r="M7" s="12" t="n"/>
      <c r="N7" s="12" t="n">
        <v>9736.816546684255</v>
      </c>
      <c r="O7" s="12" t="n">
        <v>16097.00693789655</v>
      </c>
      <c r="P7" s="15" t="inlineStr"/>
    </row>
    <row r="8" ht="18" customHeight="1">
      <c r="A8" s="16" t="n">
        <v>2005</v>
      </c>
      <c r="B8" s="17" t="inlineStr">
        <is>
          <t>31/12/2005</t>
        </is>
      </c>
      <c r="C8" s="16" t="inlineStr">
        <is>
          <t>Ano completo</t>
        </is>
      </c>
      <c r="D8" s="18" t="n">
        <v>5251.334</v>
      </c>
      <c r="E8" s="18" t="n">
        <v>1838.483</v>
      </c>
      <c r="F8" s="18" t="n"/>
      <c r="G8" s="18" t="n">
        <v>5514</v>
      </c>
      <c r="H8" s="18" t="n">
        <v>7089.817</v>
      </c>
      <c r="I8" s="19" t="n">
        <v>3.010667253094704</v>
      </c>
      <c r="J8" s="20" t="n">
        <v>201.0667253094704</v>
      </c>
      <c r="K8" s="18" t="n">
        <v>15810.01930886282</v>
      </c>
      <c r="L8" s="18" t="n">
        <v>5535.060563471311</v>
      </c>
      <c r="M8" s="18" t="n"/>
      <c r="N8" s="18" t="n">
        <v>16600.8192335642</v>
      </c>
      <c r="O8" s="18" t="n">
        <v>21345.07987233414</v>
      </c>
      <c r="P8" s="21" t="inlineStr"/>
    </row>
    <row r="9" ht="32" customHeight="1">
      <c r="A9" s="10" t="n">
        <v>2006</v>
      </c>
      <c r="B9" s="11" t="inlineStr">
        <is>
          <t>31/12/2006</t>
        </is>
      </c>
      <c r="C9" s="10" t="inlineStr">
        <is>
          <t>Ano completo</t>
        </is>
      </c>
      <c r="D9" s="12" t="n">
        <v>4308.927</v>
      </c>
      <c r="E9" s="12" t="n">
        <v>1750.011</v>
      </c>
      <c r="F9" s="12" t="n"/>
      <c r="G9" s="12" t="n">
        <v>5054</v>
      </c>
      <c r="H9" s="12" t="n">
        <v>6058.938</v>
      </c>
      <c r="I9" s="13" t="n">
        <v>2.918960095480114</v>
      </c>
      <c r="J9" s="14" t="n">
        <v>191.8960095480114</v>
      </c>
      <c r="K9" s="12" t="n">
        <v>12577.58596733684</v>
      </c>
      <c r="L9" s="12" t="n">
        <v>5108.21227565125</v>
      </c>
      <c r="M9" s="12" t="n"/>
      <c r="N9" s="12" t="n">
        <v>14752.4243225565</v>
      </c>
      <c r="O9" s="12" t="n">
        <v>17685.79824298809</v>
      </c>
      <c r="P9" s="15" t="inlineStr">
        <is>
          <t>Contábil, não o recorrente. Bradesco recorrente R$ 6.363 mi; Itaú sem efeitos do BankBoston R$ 6.480 mi; Unibanco antes do ágio R$ 2.210 mi.</t>
        </is>
      </c>
    </row>
    <row r="10" ht="32" customHeight="1">
      <c r="A10" s="16" t="n">
        <v>2007</v>
      </c>
      <c r="B10" s="17" t="inlineStr">
        <is>
          <t>31/12/2007</t>
        </is>
      </c>
      <c r="C10" s="16" t="inlineStr">
        <is>
          <t>Ano completo</t>
        </is>
      </c>
      <c r="D10" s="18" t="n">
        <v>8474</v>
      </c>
      <c r="E10" s="18" t="n">
        <v>3447.825</v>
      </c>
      <c r="F10" s="18" t="n"/>
      <c r="G10" s="18" t="n">
        <v>8010</v>
      </c>
      <c r="H10" s="18" t="n">
        <v>11921.825</v>
      </c>
      <c r="I10" s="19" t="n">
        <v>2.794404263801974</v>
      </c>
      <c r="J10" s="20" t="n">
        <v>179.4404263801974</v>
      </c>
      <c r="K10" s="18" t="n">
        <v>23679.78173145793</v>
      </c>
      <c r="L10" s="18" t="n">
        <v>9634.616880843039</v>
      </c>
      <c r="M10" s="18" t="n"/>
      <c r="N10" s="18" t="n">
        <v>22383.17815305381</v>
      </c>
      <c r="O10" s="18" t="n">
        <v>33314.39861230097</v>
      </c>
      <c r="P10" s="21" t="inlineStr">
        <is>
          <t>Contábil. Itaú recorrente R$ 7.179 mi; Unibanco recorrente R$ 2.600 mi; Bradesco ajustado citado depois foi R$ 7.210 mi.</t>
        </is>
      </c>
    </row>
    <row r="11" ht="32" customHeight="1">
      <c r="A11" s="22" t="n">
        <v>2008</v>
      </c>
      <c r="B11" s="23" t="inlineStr">
        <is>
          <t>31/12/2008</t>
        </is>
      </c>
      <c r="C11" s="22" t="inlineStr">
        <is>
          <t>Ano completo</t>
        </is>
      </c>
      <c r="D11" s="24" t="n"/>
      <c r="E11" s="24" t="n"/>
      <c r="F11" s="24" t="n">
        <v>7803</v>
      </c>
      <c r="G11" s="24" t="n">
        <v>7620</v>
      </c>
      <c r="H11" s="24" t="n">
        <v>7803</v>
      </c>
      <c r="I11" s="25" t="n">
        <v>2.638662153474293</v>
      </c>
      <c r="J11" s="26" t="n">
        <v>163.8662153474293</v>
      </c>
      <c r="K11" s="24" t="n"/>
      <c r="L11" s="24" t="n"/>
      <c r="M11" s="24" t="n">
        <v>20589.48078355991</v>
      </c>
      <c r="N11" s="24" t="n">
        <v>20106.60560947411</v>
      </c>
      <c r="O11" s="24" t="n">
        <v>20589.48078355991</v>
      </c>
      <c r="P11" s="27" t="inlineStr">
        <is>
          <t>Fusão anunciada em 03/11/2008. Não há lucro anual isolado de Itaú nem de Unibanco em 2008. O valor de Itaú Unibanco (R$ 7.803 mi) é o consolidado legal e inclui o Unibanco só no 4º trimestre. No fato relevante, o acumulado jan–set/2008 era R$ 5,9 bi (Itaú) e R$ 2,2 bi (Unibanco).</t>
        </is>
      </c>
    </row>
    <row r="12" ht="32" customHeight="1">
      <c r="A12" s="16" t="n">
        <v>2009</v>
      </c>
      <c r="B12" s="17" t="inlineStr">
        <is>
          <t>31/12/2009</t>
        </is>
      </c>
      <c r="C12" s="16" t="inlineStr">
        <is>
          <t>Ano completo</t>
        </is>
      </c>
      <c r="D12" s="18" t="n"/>
      <c r="E12" s="18" t="n"/>
      <c r="F12" s="18" t="n">
        <v>10067</v>
      </c>
      <c r="G12" s="18" t="n">
        <v>8012</v>
      </c>
      <c r="H12" s="18" t="n">
        <v>10067</v>
      </c>
      <c r="I12" s="19" t="n">
        <v>2.529585701405884</v>
      </c>
      <c r="J12" s="20" t="n">
        <v>152.9585701405884</v>
      </c>
      <c r="K12" s="18" t="n"/>
      <c r="L12" s="18" t="n"/>
      <c r="M12" s="18" t="n">
        <v>25465.33925605303</v>
      </c>
      <c r="N12" s="18" t="n">
        <v>20267.04063966394</v>
      </c>
      <c r="O12" s="18" t="n">
        <v>25465.33925605303</v>
      </c>
      <c r="P12" s="21" t="inlineStr">
        <is>
          <t>Primeiro exercício completo do Itaú Unibanco. Lucro da controladora. O comparativo pró-forma de 2008 (soma Itaú + Unibanco) era R$ 10.004 mi e não entra na série.</t>
        </is>
      </c>
    </row>
    <row r="13" ht="32" customHeight="1">
      <c r="A13" s="10" t="n">
        <v>2010</v>
      </c>
      <c r="B13" s="11" t="inlineStr">
        <is>
          <t>31/12/2010</t>
        </is>
      </c>
      <c r="C13" s="10" t="inlineStr">
        <is>
          <t>Ano completo</t>
        </is>
      </c>
      <c r="D13" s="12" t="n"/>
      <c r="E13" s="12" t="n"/>
      <c r="F13" s="12" t="n">
        <v>11708</v>
      </c>
      <c r="G13" s="12" t="n">
        <v>9939.575000000001</v>
      </c>
      <c r="H13" s="12" t="n">
        <v>11708</v>
      </c>
      <c r="I13" s="13" t="n">
        <v>2.38845052730669</v>
      </c>
      <c r="J13" s="14" t="n">
        <v>138.845052730669</v>
      </c>
      <c r="K13" s="12" t="n"/>
      <c r="L13" s="12" t="n"/>
      <c r="M13" s="12" t="n">
        <v>27963.97877370673</v>
      </c>
      <c r="N13" s="12" t="n">
        <v>23740.1831499544</v>
      </c>
      <c r="O13" s="12" t="n">
        <v>27963.97877370673</v>
      </c>
      <c r="P13" s="15" t="inlineStr">
        <is>
          <t>A partir daqui: DFP CVM, IFRS, atribuído aos sócios da controladora. O release do Bradesco falou em R$ 10.022 mi; a DFP (versão mais recente) registra R$ 9.939,575 mi na controladora.</t>
        </is>
      </c>
    </row>
    <row r="14" ht="18" customHeight="1">
      <c r="A14" s="16" t="n">
        <v>2011</v>
      </c>
      <c r="B14" s="17" t="inlineStr">
        <is>
          <t>31/12/2011</t>
        </is>
      </c>
      <c r="C14" s="16" t="inlineStr">
        <is>
          <t>Ano completo</t>
        </is>
      </c>
      <c r="D14" s="18" t="n"/>
      <c r="E14" s="18" t="n"/>
      <c r="F14" s="18" t="n">
        <v>13837</v>
      </c>
      <c r="G14" s="18" t="n">
        <v>10958.054</v>
      </c>
      <c r="H14" s="18" t="n">
        <v>13837</v>
      </c>
      <c r="I14" s="19" t="n">
        <v>2.24261108320842</v>
      </c>
      <c r="J14" s="20" t="n">
        <v>124.261108320842</v>
      </c>
      <c r="K14" s="18" t="n"/>
      <c r="L14" s="18" t="n"/>
      <c r="M14" s="18" t="n">
        <v>31031.0095583549</v>
      </c>
      <c r="N14" s="18" t="n">
        <v>24574.65335079636</v>
      </c>
      <c r="O14" s="18" t="n">
        <v>31031.0095583549</v>
      </c>
      <c r="P14" s="21" t="inlineStr"/>
    </row>
    <row r="15" ht="18" customHeight="1">
      <c r="A15" s="10" t="n">
        <v>2012</v>
      </c>
      <c r="B15" s="11" t="inlineStr">
        <is>
          <t>31/12/2012</t>
        </is>
      </c>
      <c r="C15" s="10" t="inlineStr">
        <is>
          <t>Ano completo</t>
        </is>
      </c>
      <c r="D15" s="12" t="n"/>
      <c r="E15" s="12" t="n"/>
      <c r="F15" s="12" t="n">
        <v>12634</v>
      </c>
      <c r="G15" s="12" t="n">
        <v>11291.57</v>
      </c>
      <c r="H15" s="12" t="n">
        <v>12634</v>
      </c>
      <c r="I15" s="13" t="n">
        <v>2.118897774646258</v>
      </c>
      <c r="J15" s="14" t="n">
        <v>111.8897774646258</v>
      </c>
      <c r="K15" s="12" t="n"/>
      <c r="L15" s="12" t="n"/>
      <c r="M15" s="12" t="n">
        <v>26770.15448488082</v>
      </c>
      <c r="N15" s="12" t="n">
        <v>23925.68254526244</v>
      </c>
      <c r="O15" s="12" t="n">
        <v>26770.15448488082</v>
      </c>
      <c r="P15" s="15" t="inlineStr"/>
    </row>
    <row r="16" ht="18" customHeight="1">
      <c r="A16" s="16" t="n">
        <v>2013</v>
      </c>
      <c r="B16" s="17" t="inlineStr">
        <is>
          <t>31/12/2013</t>
        </is>
      </c>
      <c r="C16" s="16" t="inlineStr">
        <is>
          <t>Ano completo</t>
        </is>
      </c>
      <c r="D16" s="18" t="n"/>
      <c r="E16" s="18" t="n"/>
      <c r="F16" s="18" t="n">
        <v>16424</v>
      </c>
      <c r="G16" s="18" t="n">
        <v>12395.92</v>
      </c>
      <c r="H16" s="18" t="n">
        <v>16424</v>
      </c>
      <c r="I16" s="19" t="n">
        <v>2.000643383800008</v>
      </c>
      <c r="J16" s="20" t="n">
        <v>100.0643383800007</v>
      </c>
      <c r="K16" s="18" t="n"/>
      <c r="L16" s="18" t="n"/>
      <c r="M16" s="18" t="n">
        <v>32858.56693553132</v>
      </c>
      <c r="N16" s="18" t="n">
        <v>24799.81533411419</v>
      </c>
      <c r="O16" s="18" t="n">
        <v>32858.56693553132</v>
      </c>
      <c r="P16" s="21" t="inlineStr"/>
    </row>
    <row r="17" ht="18" customHeight="1">
      <c r="A17" s="10" t="n">
        <v>2014</v>
      </c>
      <c r="B17" s="11" t="inlineStr">
        <is>
          <t>31/12/2014</t>
        </is>
      </c>
      <c r="C17" s="10" t="inlineStr">
        <is>
          <t>Ano completo</t>
        </is>
      </c>
      <c r="D17" s="12" t="n"/>
      <c r="E17" s="12" t="n"/>
      <c r="F17" s="12" t="n">
        <v>21555</v>
      </c>
      <c r="G17" s="12" t="n">
        <v>15314.943</v>
      </c>
      <c r="H17" s="12" t="n">
        <v>21555</v>
      </c>
      <c r="I17" s="13" t="n">
        <v>1.880169341061855</v>
      </c>
      <c r="J17" s="14" t="n">
        <v>88.01693410618545</v>
      </c>
      <c r="K17" s="12" t="n"/>
      <c r="L17" s="12" t="n"/>
      <c r="M17" s="12" t="n">
        <v>40527.05014658828</v>
      </c>
      <c r="N17" s="12" t="n">
        <v>28794.68628870986</v>
      </c>
      <c r="O17" s="12" t="n">
        <v>40527.05014658828</v>
      </c>
      <c r="P17" s="15" t="inlineStr"/>
    </row>
    <row r="18" ht="18" customHeight="1">
      <c r="A18" s="16" t="n">
        <v>2015</v>
      </c>
      <c r="B18" s="17" t="inlineStr">
        <is>
          <t>31/12/2015</t>
        </is>
      </c>
      <c r="C18" s="16" t="inlineStr">
        <is>
          <t>Ano completo</t>
        </is>
      </c>
      <c r="D18" s="18" t="n"/>
      <c r="E18" s="18" t="n"/>
      <c r="F18" s="18" t="n">
        <v>25740</v>
      </c>
      <c r="G18" s="18" t="n">
        <v>18132.906</v>
      </c>
      <c r="H18" s="18" t="n">
        <v>25740</v>
      </c>
      <c r="I18" s="19" t="n">
        <v>1.698843332065129</v>
      </c>
      <c r="J18" s="20" t="n">
        <v>69.88433320651293</v>
      </c>
      <c r="K18" s="18" t="n"/>
      <c r="L18" s="18" t="n"/>
      <c r="M18" s="18" t="n">
        <v>43728.22736735643</v>
      </c>
      <c r="N18" s="18" t="n">
        <v>30804.96644906377</v>
      </c>
      <c r="O18" s="18" t="n">
        <v>43728.22736735643</v>
      </c>
      <c r="P18" s="21" t="inlineStr"/>
    </row>
    <row r="19" ht="18" customHeight="1">
      <c r="A19" s="10" t="n">
        <v>2016</v>
      </c>
      <c r="B19" s="11" t="inlineStr">
        <is>
          <t>31/12/2016</t>
        </is>
      </c>
      <c r="C19" s="10" t="inlineStr">
        <is>
          <t>Ano completo</t>
        </is>
      </c>
      <c r="D19" s="12" t="n"/>
      <c r="E19" s="12" t="n"/>
      <c r="F19" s="12" t="n">
        <v>23263</v>
      </c>
      <c r="G19" s="12" t="n">
        <v>17894.249</v>
      </c>
      <c r="H19" s="12" t="n">
        <v>23263</v>
      </c>
      <c r="I19" s="13" t="n">
        <v>1.598338901956986</v>
      </c>
      <c r="J19" s="14" t="n">
        <v>59.83389019569864</v>
      </c>
      <c r="K19" s="12" t="n"/>
      <c r="L19" s="12" t="n"/>
      <c r="M19" s="12" t="n">
        <v>37182.15787622538</v>
      </c>
      <c r="N19" s="12" t="n">
        <v>28601.0742980049</v>
      </c>
      <c r="O19" s="12" t="n">
        <v>37182.15787622538</v>
      </c>
      <c r="P19" s="15" t="inlineStr"/>
    </row>
    <row r="20" ht="18" customHeight="1">
      <c r="A20" s="16" t="n">
        <v>2017</v>
      </c>
      <c r="B20" s="17" t="inlineStr">
        <is>
          <t>31/12/2017</t>
        </is>
      </c>
      <c r="C20" s="16" t="inlineStr">
        <is>
          <t>Ano completo</t>
        </is>
      </c>
      <c r="D20" s="18" t="n"/>
      <c r="E20" s="18" t="n"/>
      <c r="F20" s="18" t="n">
        <v>23903</v>
      </c>
      <c r="G20" s="18" t="n">
        <v>17089.364</v>
      </c>
      <c r="H20" s="18" t="n">
        <v>23903</v>
      </c>
      <c r="I20" s="19" t="n">
        <v>1.552578967190499</v>
      </c>
      <c r="J20" s="20" t="n">
        <v>55.25789671904995</v>
      </c>
      <c r="K20" s="18" t="n"/>
      <c r="L20" s="18" t="n"/>
      <c r="M20" s="18" t="n">
        <v>37111.29505275451</v>
      </c>
      <c r="N20" s="18" t="n">
        <v>26532.5871090625</v>
      </c>
      <c r="O20" s="18" t="n">
        <v>37111.29505275451</v>
      </c>
      <c r="P20" s="21" t="inlineStr"/>
    </row>
    <row r="21" ht="18" customHeight="1">
      <c r="A21" s="10" t="n">
        <v>2018</v>
      </c>
      <c r="B21" s="11" t="inlineStr">
        <is>
          <t>31/12/2018</t>
        </is>
      </c>
      <c r="C21" s="10" t="inlineStr">
        <is>
          <t>Ano completo</t>
        </is>
      </c>
      <c r="D21" s="12" t="n"/>
      <c r="E21" s="12" t="n"/>
      <c r="F21" s="12" t="n">
        <v>24907</v>
      </c>
      <c r="G21" s="12" t="n">
        <v>16583.915</v>
      </c>
      <c r="H21" s="12" t="n">
        <v>24907</v>
      </c>
      <c r="I21" s="13" t="n">
        <v>1.496526822601605</v>
      </c>
      <c r="J21" s="14" t="n">
        <v>49.65268226016053</v>
      </c>
      <c r="K21" s="12" t="n"/>
      <c r="L21" s="12" t="n"/>
      <c r="M21" s="12" t="n">
        <v>37273.99357053819</v>
      </c>
      <c r="N21" s="12" t="n">
        <v>24818.2736212451</v>
      </c>
      <c r="O21" s="12" t="n">
        <v>37273.99357053819</v>
      </c>
      <c r="P21" s="15" t="inlineStr"/>
    </row>
    <row r="22" ht="18" customHeight="1">
      <c r="A22" s="16" t="n">
        <v>2019</v>
      </c>
      <c r="B22" s="17" t="inlineStr">
        <is>
          <t>31/12/2019</t>
        </is>
      </c>
      <c r="C22" s="16" t="inlineStr">
        <is>
          <t>Ano completo</t>
        </is>
      </c>
      <c r="D22" s="18" t="n"/>
      <c r="E22" s="18" t="n"/>
      <c r="F22" s="18" t="n">
        <v>27113</v>
      </c>
      <c r="G22" s="18" t="n">
        <v>21023.023</v>
      </c>
      <c r="H22" s="18" t="n">
        <v>27113</v>
      </c>
      <c r="I22" s="19" t="n">
        <v>1.434746082613759</v>
      </c>
      <c r="J22" s="20" t="n">
        <v>43.47460826137593</v>
      </c>
      <c r="K22" s="18" t="n"/>
      <c r="L22" s="18" t="n"/>
      <c r="M22" s="18" t="n">
        <v>38900.27053790686</v>
      </c>
      <c r="N22" s="18" t="n">
        <v>30162.69989394896</v>
      </c>
      <c r="O22" s="18" t="n">
        <v>38900.27053790686</v>
      </c>
      <c r="P22" s="21" t="inlineStr"/>
    </row>
    <row r="23" ht="32" customHeight="1">
      <c r="A23" s="10" t="n">
        <v>2020</v>
      </c>
      <c r="B23" s="11" t="inlineStr">
        <is>
          <t>31/12/2020</t>
        </is>
      </c>
      <c r="C23" s="10" t="inlineStr">
        <is>
          <t>Ano completo</t>
        </is>
      </c>
      <c r="D23" s="12" t="n"/>
      <c r="E23" s="12" t="n"/>
      <c r="F23" s="12" t="n">
        <v>18896</v>
      </c>
      <c r="G23" s="12" t="n">
        <v>15836.862</v>
      </c>
      <c r="H23" s="12" t="n">
        <v>18896</v>
      </c>
      <c r="I23" s="13" t="n">
        <v>1.372734956721761</v>
      </c>
      <c r="J23" s="14" t="n">
        <v>37.27349567217608</v>
      </c>
      <c r="K23" s="12" t="n"/>
      <c r="L23" s="12" t="n"/>
      <c r="M23" s="12" t="n">
        <v>25939.19974221439</v>
      </c>
      <c r="N23" s="12" t="n">
        <v>21739.8140721785</v>
      </c>
      <c r="O23" s="12" t="n">
        <v>25939.19974221439</v>
      </c>
      <c r="P23" s="15" t="inlineStr">
        <is>
          <t>No Itaú a controladora (R$ 18.896 mi) supera o consolidado (R$ 15.064 mi) porque a participação de não controladores foi negativa.</t>
        </is>
      </c>
    </row>
    <row r="24" ht="18" customHeight="1">
      <c r="A24" s="16" t="n">
        <v>2021</v>
      </c>
      <c r="B24" s="17" t="inlineStr">
        <is>
          <t>31/12/2021</t>
        </is>
      </c>
      <c r="C24" s="16" t="inlineStr">
        <is>
          <t>Ano completo</t>
        </is>
      </c>
      <c r="D24" s="18" t="n"/>
      <c r="E24" s="18" t="n"/>
      <c r="F24" s="18" t="n">
        <v>26760</v>
      </c>
      <c r="G24" s="18" t="n">
        <v>23172.322</v>
      </c>
      <c r="H24" s="18" t="n">
        <v>26760</v>
      </c>
      <c r="I24" s="19" t="n">
        <v>1.247248591296077</v>
      </c>
      <c r="J24" s="20" t="n">
        <v>24.72485912960767</v>
      </c>
      <c r="K24" s="18" t="n"/>
      <c r="L24" s="18" t="n"/>
      <c r="M24" s="18" t="n">
        <v>33376.37230308302</v>
      </c>
      <c r="N24" s="18" t="n">
        <v>28901.64597155909</v>
      </c>
      <c r="O24" s="18" t="n">
        <v>33376.37230308302</v>
      </c>
      <c r="P24" s="21" t="inlineStr"/>
    </row>
    <row r="25" ht="18" customHeight="1">
      <c r="A25" s="10" t="n">
        <v>2022</v>
      </c>
      <c r="B25" s="11" t="inlineStr">
        <is>
          <t>31/12/2022</t>
        </is>
      </c>
      <c r="C25" s="10" t="inlineStr">
        <is>
          <t>Ano completo</t>
        </is>
      </c>
      <c r="D25" s="12" t="n"/>
      <c r="E25" s="12" t="n"/>
      <c r="F25" s="12" t="n">
        <v>29702</v>
      </c>
      <c r="G25" s="12" t="n">
        <v>20983.69</v>
      </c>
      <c r="H25" s="12" t="n">
        <v>29702</v>
      </c>
      <c r="I25" s="13" t="n">
        <v>1.17904282711158</v>
      </c>
      <c r="J25" s="14" t="n">
        <v>17.90428271115803</v>
      </c>
      <c r="K25" s="12" t="n"/>
      <c r="L25" s="12" t="n"/>
      <c r="M25" s="12" t="n">
        <v>35019.93005086816</v>
      </c>
      <c r="N25" s="12" t="n">
        <v>24740.66918083299</v>
      </c>
      <c r="O25" s="12" t="n">
        <v>35019.93005086816</v>
      </c>
      <c r="P25" s="15" t="inlineStr"/>
    </row>
    <row r="26" ht="18" customHeight="1">
      <c r="A26" s="16" t="n">
        <v>2023</v>
      </c>
      <c r="B26" s="17" t="inlineStr">
        <is>
          <t>31/12/2023</t>
        </is>
      </c>
      <c r="C26" s="16" t="inlineStr">
        <is>
          <t>Ano completo</t>
        </is>
      </c>
      <c r="D26" s="18" t="n"/>
      <c r="E26" s="18" t="n"/>
      <c r="F26" s="18" t="n">
        <v>33105</v>
      </c>
      <c r="G26" s="18" t="n">
        <v>14251.329</v>
      </c>
      <c r="H26" s="18" t="n">
        <v>33105</v>
      </c>
      <c r="I26" s="19" t="n">
        <v>1.126964513008405</v>
      </c>
      <c r="J26" s="20" t="n">
        <v>12.69645130084047</v>
      </c>
      <c r="K26" s="18" t="n"/>
      <c r="L26" s="18" t="n"/>
      <c r="M26" s="18" t="n">
        <v>37308.16020314324</v>
      </c>
      <c r="N26" s="18" t="n">
        <v>16060.74204620756</v>
      </c>
      <c r="O26" s="18" t="n">
        <v>37308.16020314324</v>
      </c>
      <c r="P26" s="21" t="inlineStr"/>
    </row>
    <row r="27" ht="32" customHeight="1">
      <c r="A27" s="10" t="n">
        <v>2024</v>
      </c>
      <c r="B27" s="11" t="inlineStr">
        <is>
          <t>31/12/2024</t>
        </is>
      </c>
      <c r="C27" s="10" t="inlineStr">
        <is>
          <t>Ano completo</t>
        </is>
      </c>
      <c r="D27" s="12" t="n"/>
      <c r="E27" s="12" t="n"/>
      <c r="F27" s="12" t="n">
        <v>41085</v>
      </c>
      <c r="G27" s="12" t="n">
        <v>17252.9</v>
      </c>
      <c r="H27" s="12" t="n">
        <v>41085</v>
      </c>
      <c r="I27" s="13" t="n">
        <v>1.075026788990541</v>
      </c>
      <c r="J27" s="14" t="n">
        <v>7.502678899054138</v>
      </c>
      <c r="K27" s="12" t="n"/>
      <c r="L27" s="12" t="n"/>
      <c r="M27" s="12" t="n">
        <v>44167.47562567639</v>
      </c>
      <c r="N27" s="12" t="n">
        <v>18547.32968777491</v>
      </c>
      <c r="O27" s="12" t="n">
        <v>44167.47562567639</v>
      </c>
      <c r="P27" s="15" t="inlineStr">
        <is>
          <t>Bradesco: o release chama de lucro líquido contábil R$ 19.086 mi (conglomerado). A DFP IFRS da controladora é R$ 17.252,9 mi.</t>
        </is>
      </c>
    </row>
    <row r="28" ht="32" customHeight="1">
      <c r="A28" s="16" t="n">
        <v>2025</v>
      </c>
      <c r="B28" s="17" t="inlineStr">
        <is>
          <t>31/12/2025</t>
        </is>
      </c>
      <c r="C28" s="16" t="inlineStr">
        <is>
          <t>Ano completo</t>
        </is>
      </c>
      <c r="D28" s="18" t="n"/>
      <c r="E28" s="18" t="n"/>
      <c r="F28" s="18" t="n">
        <v>44857</v>
      </c>
      <c r="G28" s="18" t="n">
        <v>23672.706</v>
      </c>
      <c r="H28" s="18" t="n">
        <v>44857</v>
      </c>
      <c r="I28" s="19" t="n">
        <v>1.031058486533528</v>
      </c>
      <c r="J28" s="20" t="n">
        <v>3.105848653352838</v>
      </c>
      <c r="K28" s="18" t="n"/>
      <c r="L28" s="18" t="n"/>
      <c r="M28" s="18" t="n">
        <v>46250.19053043448</v>
      </c>
      <c r="N28" s="18" t="n">
        <v>24407.94442051317</v>
      </c>
      <c r="O28" s="18" t="n">
        <v>46250.19053043448</v>
      </c>
      <c r="P28" s="21" t="inlineStr">
        <is>
          <t>Itaú: recorrente gerencial R$ 46,8 bi; contábil da controladora na DFP R$ 44.857 mi. Bradesco: recorrente R$ 24.652 mi e contábil do release R$ 24.550 mi; DFP da controladora R$ 23.672,7 mi.</t>
        </is>
      </c>
    </row>
    <row r="29" ht="32" customHeight="1">
      <c r="A29" s="28" t="n">
        <v>2026</v>
      </c>
      <c r="B29" s="29" t="inlineStr">
        <is>
          <t>30/06/2026</t>
        </is>
      </c>
      <c r="C29" s="28" t="inlineStr">
        <is>
          <t>1º semestre</t>
        </is>
      </c>
      <c r="D29" s="30" t="n"/>
      <c r="E29" s="30" t="n"/>
      <c r="F29" s="30" t="n">
        <v>23615</v>
      </c>
      <c r="G29" s="30" t="n">
        <v>12317.787</v>
      </c>
      <c r="H29" s="30" t="n">
        <v>23615</v>
      </c>
      <c r="I29" s="31" t="n">
        <v>0.9974977599999999</v>
      </c>
      <c r="J29" s="32" t="n">
        <v>-0.25022400000001</v>
      </c>
      <c r="K29" s="30" t="n"/>
      <c r="L29" s="30" t="n"/>
      <c r="M29" s="30" t="n">
        <v>23555.9096024</v>
      </c>
      <c r="N29" s="30" t="n">
        <v>12286.96494065712</v>
      </c>
      <c r="O29" s="30" t="n">
        <v>23555.9096024</v>
      </c>
      <c r="P29" s="33" t="inlineStr">
        <is>
          <t>Exercício em aberto. Valor do 1º semestre (ITR de 30/06/2026), não anualizado. Data-base da correção: 30/06/2026. Fora da soma 2002–2025.</t>
        </is>
      </c>
    </row>
    <row r="30" ht="32" customHeight="1">
      <c r="A30" s="34" t="inlineStr">
        <is>
          <t>Soma 2002–2025</t>
        </is>
      </c>
      <c r="B30" s="34" t="n"/>
      <c r="C30" s="34" t="n"/>
      <c r="D30" s="35">
        <f>SUM(D5:D28)</f>
        <v/>
      </c>
      <c r="E30" s="35">
        <f>SUM(E5:E28)</f>
        <v/>
      </c>
      <c r="F30" s="35">
        <f>SUM(F5:F28)</f>
        <v/>
      </c>
      <c r="G30" s="35">
        <f>SUM(G5:G28)</f>
        <v/>
      </c>
      <c r="H30" s="35">
        <f>SUM(H5:H28)</f>
        <v/>
      </c>
      <c r="I30" s="34" t="n"/>
      <c r="J30" s="34" t="n"/>
      <c r="K30" s="35">
        <f>SUM(K5:K28)</f>
        <v/>
      </c>
      <c r="L30" s="35">
        <f>SUM(L5:L28)</f>
        <v/>
      </c>
      <c r="M30" s="35">
        <f>SUM(M5:M28)</f>
        <v/>
      </c>
      <c r="N30" s="35">
        <f>SUM(N5:N28)</f>
        <v/>
      </c>
      <c r="O30" s="35">
        <f>SUM(O5:O28)</f>
        <v/>
      </c>
      <c r="P30" s="36" t="inlineStr">
        <is>
          <t>Não inclui o 1º semestre de 2026. Somar Itaú, Unibanco e Itaú Unibanco junto conta a fusão em dobro; use a coluna Grupo Itaú.</t>
        </is>
      </c>
    </row>
    <row r="32">
      <c r="A32" s="37" t="inlineStr">
        <is>
          <t>Como ler a soma</t>
        </is>
      </c>
    </row>
    <row r="33" ht="20" customHeight="1">
      <c r="A33" s="38" t="inlineStr">
        <is>
          <t>A coluna Grupo Itaú junta os predecessores (Itaú + Unibanco) de 2002 a 2007 e, de 2008 em diante, usa só o Itaú Unibanco. 2008 não é a soma dos dois bancos no ano inteiro: é o lucro legal da instituição que continuou, com o Unibanco consolidado apenas no 4º trimestre. Bradesco é a série contínua do Banco Bradesco S.A. O 1º semestre de 2026 está na linha 29 para não ser lido como lucro anual.</t>
        </is>
      </c>
    </row>
    <row r="34" ht="20" customHeight="1"/>
    <row r="35" ht="20" customHeight="1"/>
  </sheetData>
  <autoFilter ref="A4:P29"/>
  <mergeCells count="4">
    <mergeCell ref="A2:R2"/>
    <mergeCell ref="A30:C30"/>
    <mergeCell ref="A1:R1"/>
    <mergeCell ref="A33:P35"/>
  </mergeCells>
  <pageMargins left="0.75" right="0.75" top="1" bottom="1" header="0.5" footer="0.5"/>
  <pageSetup orientation="landscape" paperSize="8" fitToHeight="1" fitToWidth="1"/>
  <headerFooter>
    <oddHeader>&amp;LLucro líquido atualizado pelo IPCA</oddHeader>
    <oddFooter>&amp;RPágina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42" customWidth="1" min="4" max="4"/>
  </cols>
  <sheetData>
    <row r="1">
      <c r="A1" s="39" t="inlineStr">
        <is>
          <t>IPCA mensal usado na atualização — Bacen SGS 433</t>
        </is>
      </c>
    </row>
    <row r="2" ht="32" customHeight="1">
      <c r="A2" s="40" t="inlineStr">
        <is>
          <t>O índice do fim do mês é o produto acumulado de (1 + IPCA/100) desde dez/2001. Fator de um exercício = índice(31/08/2026) / índice(31/12 do ano). Isso aplica o IPCA de janeiro do ano seguinte até agosto de 2026.</t>
        </is>
      </c>
    </row>
    <row r="3">
      <c r="F3" s="41" t="inlineStr">
        <is>
          <t>Índice em 31/08/2026</t>
        </is>
      </c>
      <c r="G3" s="42" t="n">
        <v>4.238515657088374</v>
      </c>
    </row>
    <row r="4">
      <c r="A4" s="43" t="inlineStr">
        <is>
          <t>Mês</t>
        </is>
      </c>
      <c r="B4" s="43" t="inlineStr">
        <is>
          <t>IPCA % a.m.</t>
        </is>
      </c>
      <c r="C4" s="43" t="inlineStr">
        <is>
          <t>Índice fim do mês</t>
        </is>
      </c>
      <c r="D4" s="43" t="inlineStr">
        <is>
          <t>Referência</t>
        </is>
      </c>
    </row>
    <row r="5">
      <c r="A5" s="44" t="inlineStr">
        <is>
          <t>12/2001</t>
        </is>
      </c>
      <c r="B5" s="45" t="n">
        <v>0.65</v>
      </c>
      <c r="C5" s="46" t="n">
        <v>1.0065</v>
      </c>
      <c r="D5" s="44" t="inlineStr">
        <is>
          <t>data-base dos lucros anuais</t>
        </is>
      </c>
    </row>
    <row r="6">
      <c r="A6" s="47" t="inlineStr">
        <is>
          <t>01/2002</t>
        </is>
      </c>
      <c r="B6" s="48" t="n">
        <v>0.52</v>
      </c>
      <c r="C6" s="49" t="n">
        <v>1.0117338</v>
      </c>
      <c r="D6" s="47" t="inlineStr"/>
    </row>
    <row r="7">
      <c r="A7" s="47" t="inlineStr">
        <is>
          <t>02/2002</t>
        </is>
      </c>
      <c r="B7" s="48" t="n">
        <v>0.36</v>
      </c>
      <c r="C7" s="49" t="n">
        <v>1.01537604168</v>
      </c>
      <c r="D7" s="47" t="inlineStr"/>
    </row>
    <row r="8">
      <c r="A8" s="47" t="inlineStr">
        <is>
          <t>03/2002</t>
        </is>
      </c>
      <c r="B8" s="48" t="n">
        <v>0.6</v>
      </c>
      <c r="C8" s="49" t="n">
        <v>1.02146829793008</v>
      </c>
      <c r="D8" s="47" t="inlineStr"/>
    </row>
    <row r="9">
      <c r="A9" s="47" t="inlineStr">
        <is>
          <t>04/2002</t>
        </is>
      </c>
      <c r="B9" s="48" t="n">
        <v>0.8</v>
      </c>
      <c r="C9" s="49" t="n">
        <v>1.029640044313521</v>
      </c>
      <c r="D9" s="47" t="inlineStr"/>
    </row>
    <row r="10">
      <c r="A10" s="47" t="inlineStr">
        <is>
          <t>05/2002</t>
        </is>
      </c>
      <c r="B10" s="48" t="n">
        <v>0.21</v>
      </c>
      <c r="C10" s="49" t="n">
        <v>1.031802288406579</v>
      </c>
      <c r="D10" s="47" t="inlineStr"/>
    </row>
    <row r="11">
      <c r="A11" s="47" t="inlineStr">
        <is>
          <t>06/2002</t>
        </is>
      </c>
      <c r="B11" s="48" t="n">
        <v>0.42</v>
      </c>
      <c r="C11" s="49" t="n">
        <v>1.036135858017887</v>
      </c>
      <c r="D11" s="47" t="inlineStr"/>
    </row>
    <row r="12">
      <c r="A12" s="47" t="inlineStr">
        <is>
          <t>07/2002</t>
        </is>
      </c>
      <c r="B12" s="48" t="n">
        <v>1.19</v>
      </c>
      <c r="C12" s="49" t="n">
        <v>1.0484658747283</v>
      </c>
      <c r="D12" s="47" t="inlineStr"/>
    </row>
    <row r="13">
      <c r="A13" s="47" t="inlineStr">
        <is>
          <t>08/2002</t>
        </is>
      </c>
      <c r="B13" s="48" t="n">
        <v>0.65</v>
      </c>
      <c r="C13" s="49" t="n">
        <v>1.055280902914034</v>
      </c>
      <c r="D13" s="47" t="inlineStr"/>
    </row>
    <row r="14">
      <c r="A14" s="47" t="inlineStr">
        <is>
          <t>09/2002</t>
        </is>
      </c>
      <c r="B14" s="48" t="n">
        <v>0.72</v>
      </c>
      <c r="C14" s="49" t="n">
        <v>1.062878925415015</v>
      </c>
      <c r="D14" s="47" t="inlineStr"/>
    </row>
    <row r="15">
      <c r="A15" s="47" t="inlineStr">
        <is>
          <t>10/2002</t>
        </is>
      </c>
      <c r="B15" s="48" t="n">
        <v>1.31</v>
      </c>
      <c r="C15" s="49" t="n">
        <v>1.076802639337952</v>
      </c>
      <c r="D15" s="47" t="inlineStr"/>
    </row>
    <row r="16">
      <c r="A16" s="47" t="inlineStr">
        <is>
          <t>11/2002</t>
        </is>
      </c>
      <c r="B16" s="48" t="n">
        <v>3.02</v>
      </c>
      <c r="C16" s="49" t="n">
        <v>1.109322079045958</v>
      </c>
      <c r="D16" s="47" t="inlineStr"/>
    </row>
    <row r="17">
      <c r="A17" s="44" t="inlineStr">
        <is>
          <t>12/2002</t>
        </is>
      </c>
      <c r="B17" s="45" t="n">
        <v>2.1</v>
      </c>
      <c r="C17" s="46" t="n">
        <v>1.132617842705923</v>
      </c>
      <c r="D17" s="44" t="inlineStr">
        <is>
          <t>data-base dos lucros anuais</t>
        </is>
      </c>
    </row>
    <row r="18">
      <c r="A18" s="47" t="inlineStr">
        <is>
          <t>01/2003</t>
        </is>
      </c>
      <c r="B18" s="48" t="n">
        <v>2.25</v>
      </c>
      <c r="C18" s="49" t="n">
        <v>1.158101744166806</v>
      </c>
      <c r="D18" s="47" t="inlineStr"/>
    </row>
    <row r="19">
      <c r="A19" s="47" t="inlineStr">
        <is>
          <t>02/2003</t>
        </is>
      </c>
      <c r="B19" s="48" t="n">
        <v>1.57</v>
      </c>
      <c r="C19" s="49" t="n">
        <v>1.176283941550225</v>
      </c>
      <c r="D19" s="47" t="inlineStr"/>
    </row>
    <row r="20">
      <c r="A20" s="47" t="inlineStr">
        <is>
          <t>03/2003</t>
        </is>
      </c>
      <c r="B20" s="48" t="n">
        <v>1.23</v>
      </c>
      <c r="C20" s="49" t="n">
        <v>1.190752234031293</v>
      </c>
      <c r="D20" s="47" t="inlineStr"/>
    </row>
    <row r="21">
      <c r="A21" s="47" t="inlineStr">
        <is>
          <t>04/2003</t>
        </is>
      </c>
      <c r="B21" s="48" t="n">
        <v>0.97</v>
      </c>
      <c r="C21" s="49" t="n">
        <v>1.202302530701396</v>
      </c>
      <c r="D21" s="47" t="inlineStr"/>
    </row>
    <row r="22">
      <c r="A22" s="47" t="inlineStr">
        <is>
          <t>05/2003</t>
        </is>
      </c>
      <c r="B22" s="48" t="n">
        <v>0.61</v>
      </c>
      <c r="C22" s="49" t="n">
        <v>1.209636576138675</v>
      </c>
      <c r="D22" s="47" t="inlineStr"/>
    </row>
    <row r="23">
      <c r="A23" s="47" t="inlineStr">
        <is>
          <t>06/2003</t>
        </is>
      </c>
      <c r="B23" s="48" t="n">
        <v>-0.15</v>
      </c>
      <c r="C23" s="49" t="n">
        <v>1.207822121274467</v>
      </c>
      <c r="D23" s="47" t="inlineStr"/>
    </row>
    <row r="24">
      <c r="A24" s="47" t="inlineStr">
        <is>
          <t>07/2003</t>
        </is>
      </c>
      <c r="B24" s="48" t="n">
        <v>0.2</v>
      </c>
      <c r="C24" s="49" t="n">
        <v>1.210237765517016</v>
      </c>
      <c r="D24" s="47" t="inlineStr"/>
    </row>
    <row r="25">
      <c r="A25" s="47" t="inlineStr">
        <is>
          <t>08/2003</t>
        </is>
      </c>
      <c r="B25" s="48" t="n">
        <v>0.34</v>
      </c>
      <c r="C25" s="49" t="n">
        <v>1.214352573919774</v>
      </c>
      <c r="D25" s="47" t="inlineStr"/>
    </row>
    <row r="26">
      <c r="A26" s="47" t="inlineStr">
        <is>
          <t>09/2003</t>
        </is>
      </c>
      <c r="B26" s="48" t="n">
        <v>0.78</v>
      </c>
      <c r="C26" s="49" t="n">
        <v>1.223824523996348</v>
      </c>
      <c r="D26" s="47" t="inlineStr"/>
    </row>
    <row r="27">
      <c r="A27" s="47" t="inlineStr">
        <is>
          <t>10/2003</t>
        </is>
      </c>
      <c r="B27" s="48" t="n">
        <v>0.29</v>
      </c>
      <c r="C27" s="49" t="n">
        <v>1.227373615115938</v>
      </c>
      <c r="D27" s="47" t="inlineStr"/>
    </row>
    <row r="28">
      <c r="A28" s="47" t="inlineStr">
        <is>
          <t>11/2003</t>
        </is>
      </c>
      <c r="B28" s="48" t="n">
        <v>0.34</v>
      </c>
      <c r="C28" s="49" t="n">
        <v>1.231546685407332</v>
      </c>
      <c r="D28" s="47" t="inlineStr"/>
    </row>
    <row r="29">
      <c r="A29" s="44" t="inlineStr">
        <is>
          <t>12/2003</t>
        </is>
      </c>
      <c r="B29" s="45" t="n">
        <v>0.52</v>
      </c>
      <c r="C29" s="46" t="n">
        <v>1.23795072817145</v>
      </c>
      <c r="D29" s="44" t="inlineStr">
        <is>
          <t>data-base dos lucros anuais</t>
        </is>
      </c>
    </row>
    <row r="30">
      <c r="A30" s="47" t="inlineStr">
        <is>
          <t>01/2004</t>
        </is>
      </c>
      <c r="B30" s="48" t="n">
        <v>0.76</v>
      </c>
      <c r="C30" s="49" t="n">
        <v>1.247359153705553</v>
      </c>
      <c r="D30" s="47" t="inlineStr"/>
    </row>
    <row r="31">
      <c r="A31" s="47" t="inlineStr">
        <is>
          <t>02/2004</t>
        </is>
      </c>
      <c r="B31" s="48" t="n">
        <v>0.61</v>
      </c>
      <c r="C31" s="49" t="n">
        <v>1.254968044543157</v>
      </c>
      <c r="D31" s="47" t="inlineStr"/>
    </row>
    <row r="32">
      <c r="A32" s="47" t="inlineStr">
        <is>
          <t>03/2004</t>
        </is>
      </c>
      <c r="B32" s="48" t="n">
        <v>0.47</v>
      </c>
      <c r="C32" s="49" t="n">
        <v>1.26086639435251</v>
      </c>
      <c r="D32" s="47" t="inlineStr"/>
    </row>
    <row r="33">
      <c r="A33" s="47" t="inlineStr">
        <is>
          <t>04/2004</t>
        </is>
      </c>
      <c r="B33" s="48" t="n">
        <v>0.37</v>
      </c>
      <c r="C33" s="49" t="n">
        <v>1.265531600011614</v>
      </c>
      <c r="D33" s="47" t="inlineStr"/>
    </row>
    <row r="34">
      <c r="A34" s="47" t="inlineStr">
        <is>
          <t>05/2004</t>
        </is>
      </c>
      <c r="B34" s="48" t="n">
        <v>0.51</v>
      </c>
      <c r="C34" s="49" t="n">
        <v>1.271985811171674</v>
      </c>
      <c r="D34" s="47" t="inlineStr"/>
    </row>
    <row r="35">
      <c r="A35" s="47" t="inlineStr">
        <is>
          <t>06/2004</t>
        </is>
      </c>
      <c r="B35" s="48" t="n">
        <v>0.71</v>
      </c>
      <c r="C35" s="49" t="n">
        <v>1.281016910430993</v>
      </c>
      <c r="D35" s="47" t="inlineStr"/>
    </row>
    <row r="36">
      <c r="A36" s="47" t="inlineStr">
        <is>
          <t>07/2004</t>
        </is>
      </c>
      <c r="B36" s="48" t="n">
        <v>0.91</v>
      </c>
      <c r="C36" s="49" t="n">
        <v>1.292674164315915</v>
      </c>
      <c r="D36" s="47" t="inlineStr"/>
    </row>
    <row r="37">
      <c r="A37" s="47" t="inlineStr">
        <is>
          <t>08/2004</t>
        </is>
      </c>
      <c r="B37" s="48" t="n">
        <v>0.6899999999999999</v>
      </c>
      <c r="C37" s="49" t="n">
        <v>1.301593616049695</v>
      </c>
      <c r="D37" s="47" t="inlineStr"/>
    </row>
    <row r="38">
      <c r="A38" s="47" t="inlineStr">
        <is>
          <t>09/2004</t>
        </is>
      </c>
      <c r="B38" s="48" t="n">
        <v>0.33</v>
      </c>
      <c r="C38" s="49" t="n">
        <v>1.305888874982659</v>
      </c>
      <c r="D38" s="47" t="inlineStr"/>
    </row>
    <row r="39">
      <c r="A39" s="47" t="inlineStr">
        <is>
          <t>10/2004</t>
        </is>
      </c>
      <c r="B39" s="48" t="n">
        <v>0.44</v>
      </c>
      <c r="C39" s="49" t="n">
        <v>1.311634786032582</v>
      </c>
      <c r="D39" s="47" t="inlineStr"/>
    </row>
    <row r="40">
      <c r="A40" s="47" t="inlineStr">
        <is>
          <t>11/2004</t>
        </is>
      </c>
      <c r="B40" s="48" t="n">
        <v>0.6899999999999999</v>
      </c>
      <c r="C40" s="49" t="n">
        <v>1.320685066056207</v>
      </c>
      <c r="D40" s="47" t="inlineStr"/>
    </row>
    <row r="41">
      <c r="A41" s="44" t="inlineStr">
        <is>
          <t>12/2004</t>
        </is>
      </c>
      <c r="B41" s="45" t="n">
        <v>0.86</v>
      </c>
      <c r="C41" s="46" t="n">
        <v>1.33204295762429</v>
      </c>
      <c r="D41" s="44" t="inlineStr">
        <is>
          <t>data-base dos lucros anuais</t>
        </is>
      </c>
    </row>
    <row r="42">
      <c r="A42" s="47" t="inlineStr">
        <is>
          <t>01/2005</t>
        </is>
      </c>
      <c r="B42" s="48" t="n">
        <v>0.58</v>
      </c>
      <c r="C42" s="49" t="n">
        <v>1.339768806778511</v>
      </c>
      <c r="D42" s="47" t="inlineStr"/>
    </row>
    <row r="43">
      <c r="A43" s="47" t="inlineStr">
        <is>
          <t>02/2005</t>
        </is>
      </c>
      <c r="B43" s="48" t="n">
        <v>0.59</v>
      </c>
      <c r="C43" s="49" t="n">
        <v>1.347673442738504</v>
      </c>
      <c r="D43" s="47" t="inlineStr"/>
    </row>
    <row r="44">
      <c r="A44" s="47" t="inlineStr">
        <is>
          <t>03/2005</t>
        </is>
      </c>
      <c r="B44" s="48" t="n">
        <v>0.61</v>
      </c>
      <c r="C44" s="49" t="n">
        <v>1.355894250739209</v>
      </c>
      <c r="D44" s="47" t="inlineStr"/>
    </row>
    <row r="45">
      <c r="A45" s="47" t="inlineStr">
        <is>
          <t>04/2005</t>
        </is>
      </c>
      <c r="B45" s="48" t="n">
        <v>0.87</v>
      </c>
      <c r="C45" s="49" t="n">
        <v>1.36769053072064</v>
      </c>
      <c r="D45" s="47" t="inlineStr"/>
    </row>
    <row r="46">
      <c r="A46" s="47" t="inlineStr">
        <is>
          <t>05/2005</t>
        </is>
      </c>
      <c r="B46" s="48" t="n">
        <v>0.49</v>
      </c>
      <c r="C46" s="49" t="n">
        <v>1.374392214321171</v>
      </c>
      <c r="D46" s="47" t="inlineStr"/>
    </row>
    <row r="47">
      <c r="A47" s="47" t="inlineStr">
        <is>
          <t>06/2005</t>
        </is>
      </c>
      <c r="B47" s="48" t="n">
        <v>-0.02</v>
      </c>
      <c r="C47" s="49" t="n">
        <v>1.374117335878307</v>
      </c>
      <c r="D47" s="47" t="inlineStr"/>
    </row>
    <row r="48">
      <c r="A48" s="47" t="inlineStr">
        <is>
          <t>07/2005</t>
        </is>
      </c>
      <c r="B48" s="48" t="n">
        <v>0.25</v>
      </c>
      <c r="C48" s="49" t="n">
        <v>1.377552629218003</v>
      </c>
      <c r="D48" s="47" t="inlineStr"/>
    </row>
    <row r="49">
      <c r="A49" s="47" t="inlineStr">
        <is>
          <t>08/2005</t>
        </is>
      </c>
      <c r="B49" s="48" t="n">
        <v>0.17</v>
      </c>
      <c r="C49" s="49" t="n">
        <v>1.379894468687674</v>
      </c>
      <c r="D49" s="47" t="inlineStr"/>
    </row>
    <row r="50">
      <c r="A50" s="47" t="inlineStr">
        <is>
          <t>09/2005</t>
        </is>
      </c>
      <c r="B50" s="48" t="n">
        <v>0.35</v>
      </c>
      <c r="C50" s="49" t="n">
        <v>1.38472409932808</v>
      </c>
      <c r="D50" s="47" t="inlineStr"/>
    </row>
    <row r="51">
      <c r="A51" s="47" t="inlineStr">
        <is>
          <t>10/2005</t>
        </is>
      </c>
      <c r="B51" s="48" t="n">
        <v>0.75</v>
      </c>
      <c r="C51" s="49" t="n">
        <v>1.395109530073041</v>
      </c>
      <c r="D51" s="47" t="inlineStr"/>
    </row>
    <row r="52">
      <c r="A52" s="47" t="inlineStr">
        <is>
          <t>11/2005</t>
        </is>
      </c>
      <c r="B52" s="48" t="n">
        <v>0.55</v>
      </c>
      <c r="C52" s="49" t="n">
        <v>1.402782632488443</v>
      </c>
      <c r="D52" s="47" t="inlineStr"/>
    </row>
    <row r="53">
      <c r="A53" s="44" t="inlineStr">
        <is>
          <t>12/2005</t>
        </is>
      </c>
      <c r="B53" s="45" t="n">
        <v>0.36</v>
      </c>
      <c r="C53" s="46" t="n">
        <v>1.407832649965401</v>
      </c>
      <c r="D53" s="44" t="inlineStr">
        <is>
          <t>data-base dos lucros anuais</t>
        </is>
      </c>
    </row>
    <row r="54">
      <c r="A54" s="47" t="inlineStr">
        <is>
          <t>01/2006</t>
        </is>
      </c>
      <c r="B54" s="48" t="n">
        <v>0.59</v>
      </c>
      <c r="C54" s="49" t="n">
        <v>1.416138862600197</v>
      </c>
      <c r="D54" s="47" t="inlineStr"/>
    </row>
    <row r="55">
      <c r="A55" s="47" t="inlineStr">
        <is>
          <t>02/2006</t>
        </is>
      </c>
      <c r="B55" s="48" t="n">
        <v>0.41</v>
      </c>
      <c r="C55" s="49" t="n">
        <v>1.421945031936858</v>
      </c>
      <c r="D55" s="47" t="inlineStr"/>
    </row>
    <row r="56">
      <c r="A56" s="47" t="inlineStr">
        <is>
          <t>03/2006</t>
        </is>
      </c>
      <c r="B56" s="48" t="n">
        <v>0.43</v>
      </c>
      <c r="C56" s="49" t="n">
        <v>1.428059395574187</v>
      </c>
      <c r="D56" s="47" t="inlineStr"/>
    </row>
    <row r="57">
      <c r="A57" s="47" t="inlineStr">
        <is>
          <t>04/2006</t>
        </is>
      </c>
      <c r="B57" s="48" t="n">
        <v>0.21</v>
      </c>
      <c r="C57" s="49" t="n">
        <v>1.431058320304893</v>
      </c>
      <c r="D57" s="47" t="inlineStr"/>
    </row>
    <row r="58">
      <c r="A58" s="47" t="inlineStr">
        <is>
          <t>05/2006</t>
        </is>
      </c>
      <c r="B58" s="48" t="n">
        <v>0.1</v>
      </c>
      <c r="C58" s="49" t="n">
        <v>1.432489378625197</v>
      </c>
      <c r="D58" s="47" t="inlineStr"/>
    </row>
    <row r="59">
      <c r="A59" s="47" t="inlineStr">
        <is>
          <t>06/2006</t>
        </is>
      </c>
      <c r="B59" s="48" t="n">
        <v>-0.21</v>
      </c>
      <c r="C59" s="49" t="n">
        <v>1.429481150930084</v>
      </c>
      <c r="D59" s="47" t="inlineStr"/>
    </row>
    <row r="60">
      <c r="A60" s="47" t="inlineStr">
        <is>
          <t>07/2006</t>
        </is>
      </c>
      <c r="B60" s="48" t="n">
        <v>0.19</v>
      </c>
      <c r="C60" s="49" t="n">
        <v>1.432197165116852</v>
      </c>
      <c r="D60" s="47" t="inlineStr"/>
    </row>
    <row r="61">
      <c r="A61" s="47" t="inlineStr">
        <is>
          <t>08/2006</t>
        </is>
      </c>
      <c r="B61" s="48" t="n">
        <v>0.05</v>
      </c>
      <c r="C61" s="49" t="n">
        <v>1.43291326369941</v>
      </c>
      <c r="D61" s="47" t="inlineStr"/>
    </row>
    <row r="62">
      <c r="A62" s="47" t="inlineStr">
        <is>
          <t>09/2006</t>
        </is>
      </c>
      <c r="B62" s="48" t="n">
        <v>0.21</v>
      </c>
      <c r="C62" s="49" t="n">
        <v>1.435922381553179</v>
      </c>
      <c r="D62" s="47" t="inlineStr"/>
    </row>
    <row r="63">
      <c r="A63" s="47" t="inlineStr">
        <is>
          <t>10/2006</t>
        </is>
      </c>
      <c r="B63" s="48" t="n">
        <v>0.33</v>
      </c>
      <c r="C63" s="49" t="n">
        <v>1.440660925412304</v>
      </c>
      <c r="D63" s="47" t="inlineStr"/>
    </row>
    <row r="64">
      <c r="A64" s="47" t="inlineStr">
        <is>
          <t>11/2006</t>
        </is>
      </c>
      <c r="B64" s="48" t="n">
        <v>0.31</v>
      </c>
      <c r="C64" s="49" t="n">
        <v>1.445126974281083</v>
      </c>
      <c r="D64" s="47" t="inlineStr"/>
    </row>
    <row r="65">
      <c r="A65" s="44" t="inlineStr">
        <is>
          <t>12/2006</t>
        </is>
      </c>
      <c r="B65" s="45" t="n">
        <v>0.48</v>
      </c>
      <c r="C65" s="46" t="n">
        <v>1.452063583757632</v>
      </c>
      <c r="D65" s="44" t="inlineStr">
        <is>
          <t>data-base dos lucros anuais</t>
        </is>
      </c>
    </row>
    <row r="66">
      <c r="A66" s="47" t="inlineStr">
        <is>
          <t>01/2007</t>
        </is>
      </c>
      <c r="B66" s="48" t="n">
        <v>0.44</v>
      </c>
      <c r="C66" s="49" t="n">
        <v>1.458452663526165</v>
      </c>
      <c r="D66" s="47" t="inlineStr"/>
    </row>
    <row r="67">
      <c r="A67" s="47" t="inlineStr">
        <is>
          <t>02/2007</t>
        </is>
      </c>
      <c r="B67" s="48" t="n">
        <v>0.44</v>
      </c>
      <c r="C67" s="49" t="n">
        <v>1.46486985524568</v>
      </c>
      <c r="D67" s="47" t="inlineStr"/>
    </row>
    <row r="68">
      <c r="A68" s="47" t="inlineStr">
        <is>
          <t>03/2007</t>
        </is>
      </c>
      <c r="B68" s="48" t="n">
        <v>0.37</v>
      </c>
      <c r="C68" s="49" t="n">
        <v>1.470289873710089</v>
      </c>
      <c r="D68" s="47" t="inlineStr"/>
    </row>
    <row r="69">
      <c r="A69" s="47" t="inlineStr">
        <is>
          <t>04/2007</t>
        </is>
      </c>
      <c r="B69" s="48" t="n">
        <v>0.25</v>
      </c>
      <c r="C69" s="49" t="n">
        <v>1.473965598394364</v>
      </c>
      <c r="D69" s="47" t="inlineStr"/>
    </row>
    <row r="70">
      <c r="A70" s="47" t="inlineStr">
        <is>
          <t>05/2007</t>
        </is>
      </c>
      <c r="B70" s="48" t="n">
        <v>0.28</v>
      </c>
      <c r="C70" s="49" t="n">
        <v>1.478092702069869</v>
      </c>
      <c r="D70" s="47" t="inlineStr"/>
    </row>
    <row r="71">
      <c r="A71" s="47" t="inlineStr">
        <is>
          <t>06/2007</t>
        </is>
      </c>
      <c r="B71" s="48" t="n">
        <v>0.28</v>
      </c>
      <c r="C71" s="49" t="n">
        <v>1.482231361635664</v>
      </c>
      <c r="D71" s="47" t="inlineStr"/>
    </row>
    <row r="72">
      <c r="A72" s="47" t="inlineStr">
        <is>
          <t>07/2007</t>
        </is>
      </c>
      <c r="B72" s="48" t="n">
        <v>0.24</v>
      </c>
      <c r="C72" s="49" t="n">
        <v>1.48578871690359</v>
      </c>
      <c r="D72" s="47" t="inlineStr"/>
    </row>
    <row r="73">
      <c r="A73" s="47" t="inlineStr">
        <is>
          <t>08/2007</t>
        </is>
      </c>
      <c r="B73" s="48" t="n">
        <v>0.47</v>
      </c>
      <c r="C73" s="49" t="n">
        <v>1.492771923873036</v>
      </c>
      <c r="D73" s="47" t="inlineStr"/>
    </row>
    <row r="74">
      <c r="A74" s="47" t="inlineStr">
        <is>
          <t>09/2007</t>
        </is>
      </c>
      <c r="B74" s="48" t="n">
        <v>0.18</v>
      </c>
      <c r="C74" s="49" t="n">
        <v>1.495458913336008</v>
      </c>
      <c r="D74" s="47" t="inlineStr"/>
    </row>
    <row r="75">
      <c r="A75" s="47" t="inlineStr">
        <is>
          <t>10/2007</t>
        </is>
      </c>
      <c r="B75" s="48" t="n">
        <v>0.3</v>
      </c>
      <c r="C75" s="49" t="n">
        <v>1.499945290076016</v>
      </c>
      <c r="D75" s="47" t="inlineStr"/>
    </row>
    <row r="76">
      <c r="A76" s="47" t="inlineStr">
        <is>
          <t>11/2007</t>
        </is>
      </c>
      <c r="B76" s="48" t="n">
        <v>0.38</v>
      </c>
      <c r="C76" s="49" t="n">
        <v>1.505645082178305</v>
      </c>
      <c r="D76" s="47" t="inlineStr"/>
    </row>
    <row r="77">
      <c r="A77" s="44" t="inlineStr">
        <is>
          <t>12/2007</t>
        </is>
      </c>
      <c r="B77" s="45" t="n">
        <v>0.74</v>
      </c>
      <c r="C77" s="46" t="n">
        <v>1.516786855786424</v>
      </c>
      <c r="D77" s="44" t="inlineStr">
        <is>
          <t>data-base dos lucros anuais</t>
        </is>
      </c>
    </row>
    <row r="78">
      <c r="A78" s="47" t="inlineStr">
        <is>
          <t>01/2008</t>
        </is>
      </c>
      <c r="B78" s="48" t="n">
        <v>0.54</v>
      </c>
      <c r="C78" s="49" t="n">
        <v>1.524977504807671</v>
      </c>
      <c r="D78" s="47" t="inlineStr"/>
    </row>
    <row r="79">
      <c r="A79" s="47" t="inlineStr">
        <is>
          <t>02/2008</t>
        </is>
      </c>
      <c r="B79" s="48" t="n">
        <v>0.49</v>
      </c>
      <c r="C79" s="49" t="n">
        <v>1.532449894581229</v>
      </c>
      <c r="D79" s="47" t="inlineStr"/>
    </row>
    <row r="80">
      <c r="A80" s="47" t="inlineStr">
        <is>
          <t>03/2008</t>
        </is>
      </c>
      <c r="B80" s="48" t="n">
        <v>0.48</v>
      </c>
      <c r="C80" s="49" t="n">
        <v>1.539805654075218</v>
      </c>
      <c r="D80" s="47" t="inlineStr"/>
    </row>
    <row r="81">
      <c r="A81" s="47" t="inlineStr">
        <is>
          <t>04/2008</t>
        </is>
      </c>
      <c r="B81" s="48" t="n">
        <v>0.55</v>
      </c>
      <c r="C81" s="49" t="n">
        <v>1.548274585172632</v>
      </c>
      <c r="D81" s="47" t="inlineStr"/>
    </row>
    <row r="82">
      <c r="A82" s="47" t="inlineStr">
        <is>
          <t>05/2008</t>
        </is>
      </c>
      <c r="B82" s="48" t="n">
        <v>0.79</v>
      </c>
      <c r="C82" s="49" t="n">
        <v>1.560505954395496</v>
      </c>
      <c r="D82" s="47" t="inlineStr"/>
    </row>
    <row r="83">
      <c r="A83" s="47" t="inlineStr">
        <is>
          <t>06/2008</t>
        </is>
      </c>
      <c r="B83" s="48" t="n">
        <v>0.74</v>
      </c>
      <c r="C83" s="49" t="n">
        <v>1.572053698458022</v>
      </c>
      <c r="D83" s="47" t="inlineStr"/>
    </row>
    <row r="84">
      <c r="A84" s="47" t="inlineStr">
        <is>
          <t>07/2008</t>
        </is>
      </c>
      <c r="B84" s="48" t="n">
        <v>0.53</v>
      </c>
      <c r="C84" s="49" t="n">
        <v>1.58038558305985</v>
      </c>
      <c r="D84" s="47" t="inlineStr"/>
    </row>
    <row r="85">
      <c r="A85" s="47" t="inlineStr">
        <is>
          <t>08/2008</t>
        </is>
      </c>
      <c r="B85" s="48" t="n">
        <v>0.28</v>
      </c>
      <c r="C85" s="49" t="n">
        <v>1.584810662692418</v>
      </c>
      <c r="D85" s="47" t="inlineStr"/>
    </row>
    <row r="86">
      <c r="A86" s="47" t="inlineStr">
        <is>
          <t>09/2008</t>
        </is>
      </c>
      <c r="B86" s="48" t="n">
        <v>0.26</v>
      </c>
      <c r="C86" s="49" t="n">
        <v>1.588931170415418</v>
      </c>
      <c r="D86" s="47" t="inlineStr"/>
    </row>
    <row r="87">
      <c r="A87" s="47" t="inlineStr">
        <is>
          <t>10/2008</t>
        </is>
      </c>
      <c r="B87" s="48" t="n">
        <v>0.45</v>
      </c>
      <c r="C87" s="49" t="n">
        <v>1.596081360682287</v>
      </c>
      <c r="D87" s="47" t="inlineStr"/>
    </row>
    <row r="88">
      <c r="A88" s="47" t="inlineStr">
        <is>
          <t>11/2008</t>
        </is>
      </c>
      <c r="B88" s="48" t="n">
        <v>0.36</v>
      </c>
      <c r="C88" s="49" t="n">
        <v>1.601827253580744</v>
      </c>
      <c r="D88" s="47" t="inlineStr"/>
    </row>
    <row r="89">
      <c r="A89" s="44" t="inlineStr">
        <is>
          <t>12/2008</t>
        </is>
      </c>
      <c r="B89" s="45" t="n">
        <v>0.28</v>
      </c>
      <c r="C89" s="46" t="n">
        <v>1.60631236989077</v>
      </c>
      <c r="D89" s="44" t="inlineStr">
        <is>
          <t>data-base dos lucros anuais</t>
        </is>
      </c>
    </row>
    <row r="90">
      <c r="A90" s="47" t="inlineStr">
        <is>
          <t>01/2009</t>
        </is>
      </c>
      <c r="B90" s="48" t="n">
        <v>0.48</v>
      </c>
      <c r="C90" s="49" t="n">
        <v>1.614022669266245</v>
      </c>
      <c r="D90" s="47" t="inlineStr"/>
    </row>
    <row r="91">
      <c r="A91" s="47" t="inlineStr">
        <is>
          <t>02/2009</t>
        </is>
      </c>
      <c r="B91" s="48" t="n">
        <v>0.55</v>
      </c>
      <c r="C91" s="49" t="n">
        <v>1.62289979394721</v>
      </c>
      <c r="D91" s="47" t="inlineStr"/>
    </row>
    <row r="92">
      <c r="A92" s="47" t="inlineStr">
        <is>
          <t>03/2009</t>
        </is>
      </c>
      <c r="B92" s="48" t="n">
        <v>0.2</v>
      </c>
      <c r="C92" s="49" t="n">
        <v>1.626145593535104</v>
      </c>
      <c r="D92" s="47" t="inlineStr"/>
    </row>
    <row r="93">
      <c r="A93" s="47" t="inlineStr">
        <is>
          <t>04/2009</t>
        </is>
      </c>
      <c r="B93" s="48" t="n">
        <v>0.48</v>
      </c>
      <c r="C93" s="49" t="n">
        <v>1.633951092384073</v>
      </c>
      <c r="D93" s="47" t="inlineStr"/>
    </row>
    <row r="94">
      <c r="A94" s="47" t="inlineStr">
        <is>
          <t>05/2009</t>
        </is>
      </c>
      <c r="B94" s="48" t="n">
        <v>0.47</v>
      </c>
      <c r="C94" s="49" t="n">
        <v>1.641630662518277</v>
      </c>
      <c r="D94" s="47" t="inlineStr"/>
    </row>
    <row r="95">
      <c r="A95" s="47" t="inlineStr">
        <is>
          <t>06/2009</t>
        </is>
      </c>
      <c r="B95" s="48" t="n">
        <v>0.36</v>
      </c>
      <c r="C95" s="49" t="n">
        <v>1.647540532903343</v>
      </c>
      <c r="D95" s="47" t="inlineStr"/>
    </row>
    <row r="96">
      <c r="A96" s="47" t="inlineStr">
        <is>
          <t>07/2009</t>
        </is>
      </c>
      <c r="B96" s="48" t="n">
        <v>0.24</v>
      </c>
      <c r="C96" s="49" t="n">
        <v>1.651494630182311</v>
      </c>
      <c r="D96" s="47" t="inlineStr"/>
    </row>
    <row r="97">
      <c r="A97" s="47" t="inlineStr">
        <is>
          <t>08/2009</t>
        </is>
      </c>
      <c r="B97" s="48" t="n">
        <v>0.15</v>
      </c>
      <c r="C97" s="49" t="n">
        <v>1.653971872127585</v>
      </c>
      <c r="D97" s="47" t="inlineStr"/>
    </row>
    <row r="98">
      <c r="A98" s="47" t="inlineStr">
        <is>
          <t>09/2009</t>
        </is>
      </c>
      <c r="B98" s="48" t="n">
        <v>0.24</v>
      </c>
      <c r="C98" s="49" t="n">
        <v>1.657941404620691</v>
      </c>
      <c r="D98" s="47" t="inlineStr"/>
    </row>
    <row r="99">
      <c r="A99" s="47" t="inlineStr">
        <is>
          <t>10/2009</t>
        </is>
      </c>
      <c r="B99" s="48" t="n">
        <v>0.28</v>
      </c>
      <c r="C99" s="49" t="n">
        <v>1.662583640553629</v>
      </c>
      <c r="D99" s="47" t="inlineStr"/>
    </row>
    <row r="100">
      <c r="A100" s="47" t="inlineStr">
        <is>
          <t>11/2009</t>
        </is>
      </c>
      <c r="B100" s="48" t="n">
        <v>0.41</v>
      </c>
      <c r="C100" s="49" t="n">
        <v>1.669400233479899</v>
      </c>
      <c r="D100" s="47" t="inlineStr"/>
    </row>
    <row r="101">
      <c r="A101" s="44" t="inlineStr">
        <is>
          <t>12/2009</t>
        </is>
      </c>
      <c r="B101" s="45" t="n">
        <v>0.37</v>
      </c>
      <c r="C101" s="46" t="n">
        <v>1.675577014343775</v>
      </c>
      <c r="D101" s="44" t="inlineStr">
        <is>
          <t>data-base dos lucros anuais</t>
        </is>
      </c>
    </row>
    <row r="102">
      <c r="A102" s="47" t="inlineStr">
        <is>
          <t>01/2010</t>
        </is>
      </c>
      <c r="B102" s="48" t="n">
        <v>0.75</v>
      </c>
      <c r="C102" s="49" t="n">
        <v>1.688143841951353</v>
      </c>
      <c r="D102" s="47" t="inlineStr"/>
    </row>
    <row r="103">
      <c r="A103" s="47" t="inlineStr">
        <is>
          <t>02/2010</t>
        </is>
      </c>
      <c r="B103" s="48" t="n">
        <v>0.78</v>
      </c>
      <c r="C103" s="49" t="n">
        <v>1.701311363918574</v>
      </c>
      <c r="D103" s="47" t="inlineStr"/>
    </row>
    <row r="104">
      <c r="A104" s="47" t="inlineStr">
        <is>
          <t>03/2010</t>
        </is>
      </c>
      <c r="B104" s="48" t="n">
        <v>0.52</v>
      </c>
      <c r="C104" s="49" t="n">
        <v>1.71015818301095</v>
      </c>
      <c r="D104" s="47" t="inlineStr"/>
    </row>
    <row r="105">
      <c r="A105" s="47" t="inlineStr">
        <is>
          <t>04/2010</t>
        </is>
      </c>
      <c r="B105" s="48" t="n">
        <v>0.57</v>
      </c>
      <c r="C105" s="49" t="n">
        <v>1.719906084654113</v>
      </c>
      <c r="D105" s="47" t="inlineStr"/>
    </row>
    <row r="106">
      <c r="A106" s="47" t="inlineStr">
        <is>
          <t>05/2010</t>
        </is>
      </c>
      <c r="B106" s="48" t="n">
        <v>0.43</v>
      </c>
      <c r="C106" s="49" t="n">
        <v>1.727301680818126</v>
      </c>
      <c r="D106" s="47" t="inlineStr"/>
    </row>
    <row r="107">
      <c r="A107" s="47" t="inlineStr">
        <is>
          <t>06/2010</t>
        </is>
      </c>
      <c r="B107" s="48" t="n">
        <v>0</v>
      </c>
      <c r="C107" s="49" t="n">
        <v>1.727301680818126</v>
      </c>
      <c r="D107" s="47" t="inlineStr"/>
    </row>
    <row r="108">
      <c r="A108" s="47" t="inlineStr">
        <is>
          <t>07/2010</t>
        </is>
      </c>
      <c r="B108" s="48" t="n">
        <v>0.01</v>
      </c>
      <c r="C108" s="49" t="n">
        <v>1.727474410986207</v>
      </c>
      <c r="D108" s="47" t="inlineStr"/>
    </row>
    <row r="109">
      <c r="A109" s="47" t="inlineStr">
        <is>
          <t>08/2010</t>
        </is>
      </c>
      <c r="B109" s="48" t="n">
        <v>0.04</v>
      </c>
      <c r="C109" s="49" t="n">
        <v>1.728165400750602</v>
      </c>
      <c r="D109" s="47" t="inlineStr"/>
    </row>
    <row r="110">
      <c r="A110" s="47" t="inlineStr">
        <is>
          <t>09/2010</t>
        </is>
      </c>
      <c r="B110" s="48" t="n">
        <v>0.45</v>
      </c>
      <c r="C110" s="49" t="n">
        <v>1.735942145053979</v>
      </c>
      <c r="D110" s="47" t="inlineStr"/>
    </row>
    <row r="111">
      <c r="A111" s="47" t="inlineStr">
        <is>
          <t>10/2010</t>
        </is>
      </c>
      <c r="B111" s="48" t="n">
        <v>0.75</v>
      </c>
      <c r="C111" s="49" t="n">
        <v>1.748961711141884</v>
      </c>
      <c r="D111" s="47" t="inlineStr"/>
    </row>
    <row r="112">
      <c r="A112" s="47" t="inlineStr">
        <is>
          <t>11/2010</t>
        </is>
      </c>
      <c r="B112" s="48" t="n">
        <v>0.83</v>
      </c>
      <c r="C112" s="49" t="n">
        <v>1.763478093344362</v>
      </c>
      <c r="D112" s="47" t="inlineStr"/>
    </row>
    <row r="113">
      <c r="A113" s="44" t="inlineStr">
        <is>
          <t>12/2010</t>
        </is>
      </c>
      <c r="B113" s="45" t="n">
        <v>0.63</v>
      </c>
      <c r="C113" s="46" t="n">
        <v>1.774588005332431</v>
      </c>
      <c r="D113" s="44" t="inlineStr">
        <is>
          <t>data-base dos lucros anuais</t>
        </is>
      </c>
    </row>
    <row r="114">
      <c r="A114" s="47" t="inlineStr">
        <is>
          <t>01/2011</t>
        </is>
      </c>
      <c r="B114" s="48" t="n">
        <v>0.83</v>
      </c>
      <c r="C114" s="49" t="n">
        <v>1.78931708577669</v>
      </c>
      <c r="D114" s="47" t="inlineStr"/>
    </row>
    <row r="115">
      <c r="A115" s="47" t="inlineStr">
        <is>
          <t>02/2011</t>
        </is>
      </c>
      <c r="B115" s="48" t="n">
        <v>0.8</v>
      </c>
      <c r="C115" s="49" t="n">
        <v>1.803631622462904</v>
      </c>
      <c r="D115" s="47" t="inlineStr"/>
    </row>
    <row r="116">
      <c r="A116" s="47" t="inlineStr">
        <is>
          <t>03/2011</t>
        </is>
      </c>
      <c r="B116" s="48" t="n">
        <v>0.79</v>
      </c>
      <c r="C116" s="49" t="n">
        <v>1.817880312280361</v>
      </c>
      <c r="D116" s="47" t="inlineStr"/>
    </row>
    <row r="117">
      <c r="A117" s="47" t="inlineStr">
        <is>
          <t>04/2011</t>
        </is>
      </c>
      <c r="B117" s="48" t="n">
        <v>0.77</v>
      </c>
      <c r="C117" s="49" t="n">
        <v>1.83187799068492</v>
      </c>
      <c r="D117" s="47" t="inlineStr"/>
    </row>
    <row r="118">
      <c r="A118" s="47" t="inlineStr">
        <is>
          <t>05/2011</t>
        </is>
      </c>
      <c r="B118" s="48" t="n">
        <v>0.47</v>
      </c>
      <c r="C118" s="49" t="n">
        <v>1.840487817241139</v>
      </c>
      <c r="D118" s="47" t="inlineStr"/>
    </row>
    <row r="119">
      <c r="A119" s="47" t="inlineStr">
        <is>
          <t>06/2011</t>
        </is>
      </c>
      <c r="B119" s="48" t="n">
        <v>0.15</v>
      </c>
      <c r="C119" s="49" t="n">
        <v>1.843248548967</v>
      </c>
      <c r="D119" s="47" t="inlineStr"/>
    </row>
    <row r="120">
      <c r="A120" s="47" t="inlineStr">
        <is>
          <t>07/2011</t>
        </is>
      </c>
      <c r="B120" s="48" t="n">
        <v>0.16</v>
      </c>
      <c r="C120" s="49" t="n">
        <v>1.846197746645348</v>
      </c>
      <c r="D120" s="47" t="inlineStr"/>
    </row>
    <row r="121">
      <c r="A121" s="47" t="inlineStr">
        <is>
          <t>08/2011</t>
        </is>
      </c>
      <c r="B121" s="48" t="n">
        <v>0.37</v>
      </c>
      <c r="C121" s="49" t="n">
        <v>1.853028678307935</v>
      </c>
      <c r="D121" s="47" t="inlineStr"/>
    </row>
    <row r="122">
      <c r="A122" s="47" t="inlineStr">
        <is>
          <t>09/2011</t>
        </is>
      </c>
      <c r="B122" s="48" t="n">
        <v>0.53</v>
      </c>
      <c r="C122" s="49" t="n">
        <v>1.862849730302968</v>
      </c>
      <c r="D122" s="47" t="inlineStr"/>
    </row>
    <row r="123">
      <c r="A123" s="47" t="inlineStr">
        <is>
          <t>10/2011</t>
        </is>
      </c>
      <c r="B123" s="48" t="n">
        <v>0.43</v>
      </c>
      <c r="C123" s="49" t="n">
        <v>1.87085998414327</v>
      </c>
      <c r="D123" s="47" t="inlineStr"/>
    </row>
    <row r="124">
      <c r="A124" s="47" t="inlineStr">
        <is>
          <t>11/2011</t>
        </is>
      </c>
      <c r="B124" s="48" t="n">
        <v>0.52</v>
      </c>
      <c r="C124" s="49" t="n">
        <v>1.880588456060815</v>
      </c>
      <c r="D124" s="47" t="inlineStr"/>
    </row>
    <row r="125">
      <c r="A125" s="44" t="inlineStr">
        <is>
          <t>12/2011</t>
        </is>
      </c>
      <c r="B125" s="45" t="n">
        <v>0.5</v>
      </c>
      <c r="C125" s="46" t="n">
        <v>1.889991398341119</v>
      </c>
      <c r="D125" s="44" t="inlineStr">
        <is>
          <t>data-base dos lucros anuais</t>
        </is>
      </c>
    </row>
    <row r="126">
      <c r="A126" s="47" t="inlineStr">
        <is>
          <t>01/2012</t>
        </is>
      </c>
      <c r="B126" s="48" t="n">
        <v>0.5600000000000001</v>
      </c>
      <c r="C126" s="49" t="n">
        <v>1.90057535017183</v>
      </c>
      <c r="D126" s="47" t="inlineStr"/>
    </row>
    <row r="127">
      <c r="A127" s="47" t="inlineStr">
        <is>
          <t>02/2012</t>
        </is>
      </c>
      <c r="B127" s="48" t="n">
        <v>0.45</v>
      </c>
      <c r="C127" s="49" t="n">
        <v>1.909127939247603</v>
      </c>
      <c r="D127" s="47" t="inlineStr"/>
    </row>
    <row r="128">
      <c r="A128" s="47" t="inlineStr">
        <is>
          <t>03/2012</t>
        </is>
      </c>
      <c r="B128" s="48" t="n">
        <v>0.21</v>
      </c>
      <c r="C128" s="49" t="n">
        <v>1.913137107920023</v>
      </c>
      <c r="D128" s="47" t="inlineStr"/>
    </row>
    <row r="129">
      <c r="A129" s="47" t="inlineStr">
        <is>
          <t>04/2012</t>
        </is>
      </c>
      <c r="B129" s="48" t="n">
        <v>0.64</v>
      </c>
      <c r="C129" s="49" t="n">
        <v>1.925381185410711</v>
      </c>
      <c r="D129" s="47" t="inlineStr"/>
    </row>
    <row r="130">
      <c r="A130" s="47" t="inlineStr">
        <is>
          <t>05/2012</t>
        </is>
      </c>
      <c r="B130" s="48" t="n">
        <v>0.36</v>
      </c>
      <c r="C130" s="49" t="n">
        <v>1.932312557678189</v>
      </c>
      <c r="D130" s="47" t="inlineStr"/>
    </row>
    <row r="131">
      <c r="A131" s="47" t="inlineStr">
        <is>
          <t>06/2012</t>
        </is>
      </c>
      <c r="B131" s="48" t="n">
        <v>0.08</v>
      </c>
      <c r="C131" s="49" t="n">
        <v>1.933858407724332</v>
      </c>
      <c r="D131" s="47" t="inlineStr"/>
    </row>
    <row r="132">
      <c r="A132" s="47" t="inlineStr">
        <is>
          <t>07/2012</t>
        </is>
      </c>
      <c r="B132" s="48" t="n">
        <v>0.43</v>
      </c>
      <c r="C132" s="49" t="n">
        <v>1.942173998877546</v>
      </c>
      <c r="D132" s="47" t="inlineStr"/>
    </row>
    <row r="133">
      <c r="A133" s="47" t="inlineStr">
        <is>
          <t>08/2012</t>
        </is>
      </c>
      <c r="B133" s="48" t="n">
        <v>0.41</v>
      </c>
      <c r="C133" s="49" t="n">
        <v>1.950136912272944</v>
      </c>
      <c r="D133" s="47" t="inlineStr"/>
    </row>
    <row r="134">
      <c r="A134" s="47" t="inlineStr">
        <is>
          <t>09/2012</t>
        </is>
      </c>
      <c r="B134" s="48" t="n">
        <v>0.57</v>
      </c>
      <c r="C134" s="49" t="n">
        <v>1.9612526926729</v>
      </c>
      <c r="D134" s="47" t="inlineStr"/>
    </row>
    <row r="135">
      <c r="A135" s="47" t="inlineStr">
        <is>
          <t>10/2012</t>
        </is>
      </c>
      <c r="B135" s="48" t="n">
        <v>0.59</v>
      </c>
      <c r="C135" s="49" t="n">
        <v>1.97282408355967</v>
      </c>
      <c r="D135" s="47" t="inlineStr"/>
    </row>
    <row r="136">
      <c r="A136" s="47" t="inlineStr">
        <is>
          <t>11/2012</t>
        </is>
      </c>
      <c r="B136" s="48" t="n">
        <v>0.6</v>
      </c>
      <c r="C136" s="49" t="n">
        <v>1.984661028061028</v>
      </c>
      <c r="D136" s="47" t="inlineStr"/>
    </row>
    <row r="137">
      <c r="A137" s="44" t="inlineStr">
        <is>
          <t>12/2012</t>
        </is>
      </c>
      <c r="B137" s="45" t="n">
        <v>0.79</v>
      </c>
      <c r="C137" s="46" t="n">
        <v>2.00033985018271</v>
      </c>
      <c r="D137" s="44" t="inlineStr">
        <is>
          <t>data-base dos lucros anuais</t>
        </is>
      </c>
    </row>
    <row r="138">
      <c r="A138" s="47" t="inlineStr">
        <is>
          <t>01/2013</t>
        </is>
      </c>
      <c r="B138" s="48" t="n">
        <v>0.86</v>
      </c>
      <c r="C138" s="49" t="n">
        <v>2.017542772894282</v>
      </c>
      <c r="D138" s="47" t="inlineStr"/>
    </row>
    <row r="139">
      <c r="A139" s="47" t="inlineStr">
        <is>
          <t>02/2013</t>
        </is>
      </c>
      <c r="B139" s="48" t="n">
        <v>0.6</v>
      </c>
      <c r="C139" s="49" t="n">
        <v>2.029648029531647</v>
      </c>
      <c r="D139" s="47" t="inlineStr"/>
    </row>
    <row r="140">
      <c r="A140" s="47" t="inlineStr">
        <is>
          <t>03/2013</t>
        </is>
      </c>
      <c r="B140" s="48" t="n">
        <v>0.47</v>
      </c>
      <c r="C140" s="49" t="n">
        <v>2.039187375270446</v>
      </c>
      <c r="D140" s="47" t="inlineStr"/>
    </row>
    <row r="141">
      <c r="A141" s="47" t="inlineStr">
        <is>
          <t>04/2013</t>
        </is>
      </c>
      <c r="B141" s="48" t="n">
        <v>0.55</v>
      </c>
      <c r="C141" s="49" t="n">
        <v>2.050402905834433</v>
      </c>
      <c r="D141" s="47" t="inlineStr"/>
    </row>
    <row r="142">
      <c r="A142" s="47" t="inlineStr">
        <is>
          <t>05/2013</t>
        </is>
      </c>
      <c r="B142" s="48" t="n">
        <v>0.37</v>
      </c>
      <c r="C142" s="49" t="n">
        <v>2.057989396586021</v>
      </c>
      <c r="D142" s="47" t="inlineStr"/>
    </row>
    <row r="143">
      <c r="A143" s="47" t="inlineStr">
        <is>
          <t>06/2013</t>
        </is>
      </c>
      <c r="B143" s="48" t="n">
        <v>0.26</v>
      </c>
      <c r="C143" s="49" t="n">
        <v>2.063340169017144</v>
      </c>
      <c r="D143" s="47" t="inlineStr"/>
    </row>
    <row r="144">
      <c r="A144" s="47" t="inlineStr">
        <is>
          <t>07/2013</t>
        </is>
      </c>
      <c r="B144" s="48" t="n">
        <v>0.03</v>
      </c>
      <c r="C144" s="49" t="n">
        <v>2.063959171067849</v>
      </c>
      <c r="D144" s="47" t="inlineStr"/>
    </row>
    <row r="145">
      <c r="A145" s="47" t="inlineStr">
        <is>
          <t>08/2013</t>
        </is>
      </c>
      <c r="B145" s="48" t="n">
        <v>0.24</v>
      </c>
      <c r="C145" s="49" t="n">
        <v>2.068912673078412</v>
      </c>
      <c r="D145" s="47" t="inlineStr"/>
    </row>
    <row r="146">
      <c r="A146" s="47" t="inlineStr">
        <is>
          <t>09/2013</t>
        </is>
      </c>
      <c r="B146" s="48" t="n">
        <v>0.35</v>
      </c>
      <c r="C146" s="49" t="n">
        <v>2.076153867434187</v>
      </c>
      <c r="D146" s="47" t="inlineStr"/>
    </row>
    <row r="147">
      <c r="A147" s="47" t="inlineStr">
        <is>
          <t>10/2013</t>
        </is>
      </c>
      <c r="B147" s="48" t="n">
        <v>0.57</v>
      </c>
      <c r="C147" s="49" t="n">
        <v>2.087987944478562</v>
      </c>
      <c r="D147" s="47" t="inlineStr"/>
    </row>
    <row r="148">
      <c r="A148" s="47" t="inlineStr">
        <is>
          <t>11/2013</t>
        </is>
      </c>
      <c r="B148" s="48" t="n">
        <v>0.54</v>
      </c>
      <c r="C148" s="49" t="n">
        <v>2.099263079378746</v>
      </c>
      <c r="D148" s="47" t="inlineStr"/>
    </row>
    <row r="149">
      <c r="A149" s="44" t="inlineStr">
        <is>
          <t>12/2013</t>
        </is>
      </c>
      <c r="B149" s="45" t="n">
        <v>0.92</v>
      </c>
      <c r="C149" s="46" t="n">
        <v>2.11857629970903</v>
      </c>
      <c r="D149" s="44" t="inlineStr">
        <is>
          <t>data-base dos lucros anuais</t>
        </is>
      </c>
    </row>
    <row r="150">
      <c r="A150" s="47" t="inlineStr">
        <is>
          <t>01/2014</t>
        </is>
      </c>
      <c r="B150" s="48" t="n">
        <v>0.55</v>
      </c>
      <c r="C150" s="49" t="n">
        <v>2.13022846935743</v>
      </c>
      <c r="D150" s="47" t="inlineStr"/>
    </row>
    <row r="151">
      <c r="A151" s="47" t="inlineStr">
        <is>
          <t>02/2014</t>
        </is>
      </c>
      <c r="B151" s="48" t="n">
        <v>0.6899999999999999</v>
      </c>
      <c r="C151" s="49" t="n">
        <v>2.144927045795996</v>
      </c>
      <c r="D151" s="47" t="inlineStr"/>
    </row>
    <row r="152">
      <c r="A152" s="47" t="inlineStr">
        <is>
          <t>03/2014</t>
        </is>
      </c>
      <c r="B152" s="48" t="n">
        <v>0.92</v>
      </c>
      <c r="C152" s="49" t="n">
        <v>2.16466037461732</v>
      </c>
      <c r="D152" s="47" t="inlineStr"/>
    </row>
    <row r="153">
      <c r="A153" s="47" t="inlineStr">
        <is>
          <t>04/2014</t>
        </is>
      </c>
      <c r="B153" s="48" t="n">
        <v>0.67</v>
      </c>
      <c r="C153" s="49" t="n">
        <v>2.179163599127256</v>
      </c>
      <c r="D153" s="47" t="inlineStr"/>
    </row>
    <row r="154">
      <c r="A154" s="47" t="inlineStr">
        <is>
          <t>05/2014</t>
        </is>
      </c>
      <c r="B154" s="48" t="n">
        <v>0.46</v>
      </c>
      <c r="C154" s="49" t="n">
        <v>2.189187751683241</v>
      </c>
      <c r="D154" s="47" t="inlineStr"/>
    </row>
    <row r="155">
      <c r="A155" s="47" t="inlineStr">
        <is>
          <t>06/2014</t>
        </is>
      </c>
      <c r="B155" s="48" t="n">
        <v>0.4</v>
      </c>
      <c r="C155" s="49" t="n">
        <v>2.197944502689974</v>
      </c>
      <c r="D155" s="47" t="inlineStr"/>
    </row>
    <row r="156">
      <c r="A156" s="47" t="inlineStr">
        <is>
          <t>07/2014</t>
        </is>
      </c>
      <c r="B156" s="48" t="n">
        <v>0.01</v>
      </c>
      <c r="C156" s="49" t="n">
        <v>2.198164297140243</v>
      </c>
      <c r="D156" s="47" t="inlineStr"/>
    </row>
    <row r="157">
      <c r="A157" s="47" t="inlineStr">
        <is>
          <t>08/2014</t>
        </is>
      </c>
      <c r="B157" s="48" t="n">
        <v>0.25</v>
      </c>
      <c r="C157" s="49" t="n">
        <v>2.203659707883094</v>
      </c>
      <c r="D157" s="47" t="inlineStr"/>
    </row>
    <row r="158">
      <c r="A158" s="47" t="inlineStr">
        <is>
          <t>09/2014</t>
        </is>
      </c>
      <c r="B158" s="48" t="n">
        <v>0.57</v>
      </c>
      <c r="C158" s="49" t="n">
        <v>2.216220568218027</v>
      </c>
      <c r="D158" s="47" t="inlineStr"/>
    </row>
    <row r="159">
      <c r="A159" s="47" t="inlineStr">
        <is>
          <t>10/2014</t>
        </is>
      </c>
      <c r="B159" s="48" t="n">
        <v>0.42</v>
      </c>
      <c r="C159" s="49" t="n">
        <v>2.225528694604543</v>
      </c>
      <c r="D159" s="47" t="inlineStr"/>
    </row>
    <row r="160">
      <c r="A160" s="47" t="inlineStr">
        <is>
          <t>11/2014</t>
        </is>
      </c>
      <c r="B160" s="48" t="n">
        <v>0.51</v>
      </c>
      <c r="C160" s="49" t="n">
        <v>2.236878890947026</v>
      </c>
      <c r="D160" s="47" t="inlineStr"/>
    </row>
    <row r="161">
      <c r="A161" s="44" t="inlineStr">
        <is>
          <t>12/2014</t>
        </is>
      </c>
      <c r="B161" s="45" t="n">
        <v>0.78</v>
      </c>
      <c r="C161" s="46" t="n">
        <v>2.254326546296413</v>
      </c>
      <c r="D161" s="44" t="inlineStr">
        <is>
          <t>data-base dos lucros anuais</t>
        </is>
      </c>
    </row>
    <row r="162">
      <c r="A162" s="47" t="inlineStr">
        <is>
          <t>01/2015</t>
        </is>
      </c>
      <c r="B162" s="48" t="n">
        <v>1.24</v>
      </c>
      <c r="C162" s="49" t="n">
        <v>2.282280195470489</v>
      </c>
      <c r="D162" s="47" t="inlineStr"/>
    </row>
    <row r="163">
      <c r="A163" s="47" t="inlineStr">
        <is>
          <t>02/2015</t>
        </is>
      </c>
      <c r="B163" s="48" t="n">
        <v>1.22</v>
      </c>
      <c r="C163" s="49" t="n">
        <v>2.310124013855229</v>
      </c>
      <c r="D163" s="47" t="inlineStr"/>
    </row>
    <row r="164">
      <c r="A164" s="47" t="inlineStr">
        <is>
          <t>03/2015</t>
        </is>
      </c>
      <c r="B164" s="48" t="n">
        <v>1.32</v>
      </c>
      <c r="C164" s="49" t="n">
        <v>2.340617650838118</v>
      </c>
      <c r="D164" s="47" t="inlineStr"/>
    </row>
    <row r="165">
      <c r="A165" s="47" t="inlineStr">
        <is>
          <t>04/2015</t>
        </is>
      </c>
      <c r="B165" s="48" t="n">
        <v>0.71</v>
      </c>
      <c r="C165" s="49" t="n">
        <v>2.357236036159069</v>
      </c>
      <c r="D165" s="47" t="inlineStr"/>
    </row>
    <row r="166">
      <c r="A166" s="47" t="inlineStr">
        <is>
          <t>05/2015</t>
        </is>
      </c>
      <c r="B166" s="48" t="n">
        <v>0.74</v>
      </c>
      <c r="C166" s="49" t="n">
        <v>2.374679582826646</v>
      </c>
      <c r="D166" s="47" t="inlineStr"/>
    </row>
    <row r="167">
      <c r="A167" s="47" t="inlineStr">
        <is>
          <t>06/2015</t>
        </is>
      </c>
      <c r="B167" s="48" t="n">
        <v>0.79</v>
      </c>
      <c r="C167" s="49" t="n">
        <v>2.393439551530977</v>
      </c>
      <c r="D167" s="47" t="inlineStr"/>
    </row>
    <row r="168">
      <c r="A168" s="47" t="inlineStr">
        <is>
          <t>07/2015</t>
        </is>
      </c>
      <c r="B168" s="48" t="n">
        <v>0.62</v>
      </c>
      <c r="C168" s="49" t="n">
        <v>2.408278876750469</v>
      </c>
      <c r="D168" s="47" t="inlineStr"/>
    </row>
    <row r="169">
      <c r="A169" s="47" t="inlineStr">
        <is>
          <t>08/2015</t>
        </is>
      </c>
      <c r="B169" s="48" t="n">
        <v>0.22</v>
      </c>
      <c r="C169" s="49" t="n">
        <v>2.41357709027932</v>
      </c>
      <c r="D169" s="47" t="inlineStr"/>
    </row>
    <row r="170">
      <c r="A170" s="47" t="inlineStr">
        <is>
          <t>09/2015</t>
        </is>
      </c>
      <c r="B170" s="48" t="n">
        <v>0.54</v>
      </c>
      <c r="C170" s="49" t="n">
        <v>2.426610406566828</v>
      </c>
      <c r="D170" s="47" t="inlineStr"/>
    </row>
    <row r="171">
      <c r="A171" s="47" t="inlineStr">
        <is>
          <t>10/2015</t>
        </is>
      </c>
      <c r="B171" s="48" t="n">
        <v>0.82</v>
      </c>
      <c r="C171" s="49" t="n">
        <v>2.446508611900676</v>
      </c>
      <c r="D171" s="47" t="inlineStr"/>
    </row>
    <row r="172">
      <c r="A172" s="47" t="inlineStr">
        <is>
          <t>11/2015</t>
        </is>
      </c>
      <c r="B172" s="48" t="n">
        <v>1.01</v>
      </c>
      <c r="C172" s="49" t="n">
        <v>2.471218348880873</v>
      </c>
      <c r="D172" s="47" t="inlineStr"/>
    </row>
    <row r="173">
      <c r="A173" s="44" t="inlineStr">
        <is>
          <t>12/2015</t>
        </is>
      </c>
      <c r="B173" s="45" t="n">
        <v>0.96</v>
      </c>
      <c r="C173" s="46" t="n">
        <v>2.49494204503013</v>
      </c>
      <c r="D173" s="44" t="inlineStr">
        <is>
          <t>data-base dos lucros anuais</t>
        </is>
      </c>
    </row>
    <row r="174">
      <c r="A174" s="47" t="inlineStr">
        <is>
          <t>01/2016</t>
        </is>
      </c>
      <c r="B174" s="48" t="n">
        <v>1.27</v>
      </c>
      <c r="C174" s="49" t="n">
        <v>2.526627809002012</v>
      </c>
      <c r="D174" s="47" t="inlineStr"/>
    </row>
    <row r="175">
      <c r="A175" s="47" t="inlineStr">
        <is>
          <t>02/2016</t>
        </is>
      </c>
      <c r="B175" s="48" t="n">
        <v>0.9</v>
      </c>
      <c r="C175" s="49" t="n">
        <v>2.54936745928303</v>
      </c>
      <c r="D175" s="47" t="inlineStr"/>
    </row>
    <row r="176">
      <c r="A176" s="47" t="inlineStr">
        <is>
          <t>03/2016</t>
        </is>
      </c>
      <c r="B176" s="48" t="n">
        <v>0.43</v>
      </c>
      <c r="C176" s="49" t="n">
        <v>2.560329739357948</v>
      </c>
      <c r="D176" s="47" t="inlineStr"/>
    </row>
    <row r="177">
      <c r="A177" s="47" t="inlineStr">
        <is>
          <t>04/2016</t>
        </is>
      </c>
      <c r="B177" s="48" t="n">
        <v>0.61</v>
      </c>
      <c r="C177" s="49" t="n">
        <v>2.575947750768031</v>
      </c>
      <c r="D177" s="47" t="inlineStr"/>
    </row>
    <row r="178">
      <c r="A178" s="47" t="inlineStr">
        <is>
          <t>05/2016</t>
        </is>
      </c>
      <c r="B178" s="48" t="n">
        <v>0.78</v>
      </c>
      <c r="C178" s="49" t="n">
        <v>2.596040143224022</v>
      </c>
      <c r="D178" s="47" t="inlineStr"/>
    </row>
    <row r="179">
      <c r="A179" s="47" t="inlineStr">
        <is>
          <t>06/2016</t>
        </is>
      </c>
      <c r="B179" s="48" t="n">
        <v>0.35</v>
      </c>
      <c r="C179" s="49" t="n">
        <v>2.605126283725306</v>
      </c>
      <c r="D179" s="47" t="inlineStr"/>
    </row>
    <row r="180">
      <c r="A180" s="47" t="inlineStr">
        <is>
          <t>07/2016</t>
        </is>
      </c>
      <c r="B180" s="48" t="n">
        <v>0.52</v>
      </c>
      <c r="C180" s="49" t="n">
        <v>2.618672940400678</v>
      </c>
      <c r="D180" s="47" t="inlineStr"/>
    </row>
    <row r="181">
      <c r="A181" s="47" t="inlineStr">
        <is>
          <t>08/2016</t>
        </is>
      </c>
      <c r="B181" s="48" t="n">
        <v>0.44</v>
      </c>
      <c r="C181" s="49" t="n">
        <v>2.630195101338441</v>
      </c>
      <c r="D181" s="47" t="inlineStr"/>
    </row>
    <row r="182">
      <c r="A182" s="47" t="inlineStr">
        <is>
          <t>09/2016</t>
        </is>
      </c>
      <c r="B182" s="48" t="n">
        <v>0.08</v>
      </c>
      <c r="C182" s="49" t="n">
        <v>2.632299257419511</v>
      </c>
      <c r="D182" s="47" t="inlineStr"/>
    </row>
    <row r="183">
      <c r="A183" s="47" t="inlineStr">
        <is>
          <t>10/2016</t>
        </is>
      </c>
      <c r="B183" s="48" t="n">
        <v>0.26</v>
      </c>
      <c r="C183" s="49" t="n">
        <v>2.639143235488802</v>
      </c>
      <c r="D183" s="47" t="inlineStr"/>
    </row>
    <row r="184">
      <c r="A184" s="47" t="inlineStr">
        <is>
          <t>11/2016</t>
        </is>
      </c>
      <c r="B184" s="48" t="n">
        <v>0.18</v>
      </c>
      <c r="C184" s="49" t="n">
        <v>2.643893693312681</v>
      </c>
      <c r="D184" s="47" t="inlineStr"/>
    </row>
    <row r="185">
      <c r="A185" s="44" t="inlineStr">
        <is>
          <t>12/2016</t>
        </is>
      </c>
      <c r="B185" s="45" t="n">
        <v>0.3</v>
      </c>
      <c r="C185" s="46" t="n">
        <v>2.651825374392619</v>
      </c>
      <c r="D185" s="44" t="inlineStr">
        <is>
          <t>data-base dos lucros anuais</t>
        </is>
      </c>
    </row>
    <row r="186">
      <c r="A186" s="47" t="inlineStr">
        <is>
          <t>01/2017</t>
        </is>
      </c>
      <c r="B186" s="48" t="n">
        <v>0.38</v>
      </c>
      <c r="C186" s="49" t="n">
        <v>2.661902310815311</v>
      </c>
      <c r="D186" s="47" t="inlineStr"/>
    </row>
    <row r="187">
      <c r="A187" s="47" t="inlineStr">
        <is>
          <t>02/2017</t>
        </is>
      </c>
      <c r="B187" s="48" t="n">
        <v>0.33</v>
      </c>
      <c r="C187" s="49" t="n">
        <v>2.670686588441002</v>
      </c>
      <c r="D187" s="47" t="inlineStr"/>
    </row>
    <row r="188">
      <c r="A188" s="47" t="inlineStr">
        <is>
          <t>03/2017</t>
        </is>
      </c>
      <c r="B188" s="48" t="n">
        <v>0.25</v>
      </c>
      <c r="C188" s="49" t="n">
        <v>2.677363304912105</v>
      </c>
      <c r="D188" s="47" t="inlineStr"/>
    </row>
    <row r="189">
      <c r="A189" s="47" t="inlineStr">
        <is>
          <t>04/2017</t>
        </is>
      </c>
      <c r="B189" s="48" t="n">
        <v>0.14</v>
      </c>
      <c r="C189" s="49" t="n">
        <v>2.681111613538982</v>
      </c>
      <c r="D189" s="47" t="inlineStr"/>
    </row>
    <row r="190">
      <c r="A190" s="47" t="inlineStr">
        <is>
          <t>05/2017</t>
        </is>
      </c>
      <c r="B190" s="48" t="n">
        <v>0.31</v>
      </c>
      <c r="C190" s="49" t="n">
        <v>2.689423059540953</v>
      </c>
      <c r="D190" s="47" t="inlineStr"/>
    </row>
    <row r="191">
      <c r="A191" s="47" t="inlineStr">
        <is>
          <t>06/2017</t>
        </is>
      </c>
      <c r="B191" s="48" t="n">
        <v>-0.23</v>
      </c>
      <c r="C191" s="49" t="n">
        <v>2.683237386504009</v>
      </c>
      <c r="D191" s="47" t="inlineStr"/>
    </row>
    <row r="192">
      <c r="A192" s="47" t="inlineStr">
        <is>
          <t>07/2017</t>
        </is>
      </c>
      <c r="B192" s="48" t="n">
        <v>0.24</v>
      </c>
      <c r="C192" s="49" t="n">
        <v>2.689677156231618</v>
      </c>
      <c r="D192" s="47" t="inlineStr"/>
    </row>
    <row r="193">
      <c r="A193" s="47" t="inlineStr">
        <is>
          <t>08/2017</t>
        </is>
      </c>
      <c r="B193" s="48" t="n">
        <v>0.19</v>
      </c>
      <c r="C193" s="49" t="n">
        <v>2.694787542828458</v>
      </c>
      <c r="D193" s="47" t="inlineStr"/>
    </row>
    <row r="194">
      <c r="A194" s="47" t="inlineStr">
        <is>
          <t>09/2017</t>
        </is>
      </c>
      <c r="B194" s="48" t="n">
        <v>0.16</v>
      </c>
      <c r="C194" s="49" t="n">
        <v>2.699099202896984</v>
      </c>
      <c r="D194" s="47" t="inlineStr"/>
    </row>
    <row r="195">
      <c r="A195" s="47" t="inlineStr">
        <is>
          <t>10/2017</t>
        </is>
      </c>
      <c r="B195" s="48" t="n">
        <v>0.42</v>
      </c>
      <c r="C195" s="49" t="n">
        <v>2.710435419549151</v>
      </c>
      <c r="D195" s="47" t="inlineStr"/>
    </row>
    <row r="196">
      <c r="A196" s="47" t="inlineStr">
        <is>
          <t>11/2017</t>
        </is>
      </c>
      <c r="B196" s="48" t="n">
        <v>0.28</v>
      </c>
      <c r="C196" s="49" t="n">
        <v>2.718024638723889</v>
      </c>
      <c r="D196" s="47" t="inlineStr"/>
    </row>
    <row r="197">
      <c r="A197" s="44" t="inlineStr">
        <is>
          <t>12/2017</t>
        </is>
      </c>
      <c r="B197" s="45" t="n">
        <v>0.44</v>
      </c>
      <c r="C197" s="46" t="n">
        <v>2.729983947134274</v>
      </c>
      <c r="D197" s="44" t="inlineStr">
        <is>
          <t>data-base dos lucros anuais</t>
        </is>
      </c>
    </row>
    <row r="198">
      <c r="A198" s="47" t="inlineStr">
        <is>
          <t>01/2018</t>
        </is>
      </c>
      <c r="B198" s="48" t="n">
        <v>0.29</v>
      </c>
      <c r="C198" s="49" t="n">
        <v>2.737900900580962</v>
      </c>
      <c r="D198" s="47" t="inlineStr"/>
    </row>
    <row r="199">
      <c r="A199" s="47" t="inlineStr">
        <is>
          <t>02/2018</t>
        </is>
      </c>
      <c r="B199" s="48" t="n">
        <v>0.32</v>
      </c>
      <c r="C199" s="49" t="n">
        <v>2.746662183462822</v>
      </c>
      <c r="D199" s="47" t="inlineStr"/>
    </row>
    <row r="200">
      <c r="A200" s="47" t="inlineStr">
        <is>
          <t>03/2018</t>
        </is>
      </c>
      <c r="B200" s="48" t="n">
        <v>0.09</v>
      </c>
      <c r="C200" s="49" t="n">
        <v>2.749134179427938</v>
      </c>
      <c r="D200" s="47" t="inlineStr"/>
    </row>
    <row r="201">
      <c r="A201" s="47" t="inlineStr">
        <is>
          <t>04/2018</t>
        </is>
      </c>
      <c r="B201" s="48" t="n">
        <v>0.22</v>
      </c>
      <c r="C201" s="49" t="n">
        <v>2.755182274622679</v>
      </c>
      <c r="D201" s="47" t="inlineStr"/>
    </row>
    <row r="202">
      <c r="A202" s="47" t="inlineStr">
        <is>
          <t>05/2018</t>
        </is>
      </c>
      <c r="B202" s="48" t="n">
        <v>0.4</v>
      </c>
      <c r="C202" s="49" t="n">
        <v>2.76620300372117</v>
      </c>
      <c r="D202" s="47" t="inlineStr"/>
    </row>
    <row r="203">
      <c r="A203" s="47" t="inlineStr">
        <is>
          <t>06/2018</t>
        </is>
      </c>
      <c r="B203" s="48" t="n">
        <v>1.26</v>
      </c>
      <c r="C203" s="49" t="n">
        <v>2.801057161568056</v>
      </c>
      <c r="D203" s="47" t="inlineStr"/>
    </row>
    <row r="204">
      <c r="A204" s="47" t="inlineStr">
        <is>
          <t>07/2018</t>
        </is>
      </c>
      <c r="B204" s="48" t="n">
        <v>0.33</v>
      </c>
      <c r="C204" s="49" t="n">
        <v>2.810300650201231</v>
      </c>
      <c r="D204" s="47" t="inlineStr"/>
    </row>
    <row r="205">
      <c r="A205" s="47" t="inlineStr">
        <is>
          <t>08/2018</t>
        </is>
      </c>
      <c r="B205" s="48" t="n">
        <v>-0.09</v>
      </c>
      <c r="C205" s="49" t="n">
        <v>2.80777137961605</v>
      </c>
      <c r="D205" s="47" t="inlineStr"/>
    </row>
    <row r="206">
      <c r="A206" s="47" t="inlineStr">
        <is>
          <t>09/2018</t>
        </is>
      </c>
      <c r="B206" s="48" t="n">
        <v>0.48</v>
      </c>
      <c r="C206" s="49" t="n">
        <v>2.821248682238207</v>
      </c>
      <c r="D206" s="47" t="inlineStr"/>
    </row>
    <row r="207">
      <c r="A207" s="47" t="inlineStr">
        <is>
          <t>10/2018</t>
        </is>
      </c>
      <c r="B207" s="48" t="n">
        <v>0.45</v>
      </c>
      <c r="C207" s="49" t="n">
        <v>2.833944301308279</v>
      </c>
      <c r="D207" s="47" t="inlineStr"/>
    </row>
    <row r="208">
      <c r="A208" s="47" t="inlineStr">
        <is>
          <t>11/2018</t>
        </is>
      </c>
      <c r="B208" s="48" t="n">
        <v>-0.21</v>
      </c>
      <c r="C208" s="49" t="n">
        <v>2.827993018275532</v>
      </c>
      <c r="D208" s="47" t="inlineStr"/>
    </row>
    <row r="209">
      <c r="A209" s="44" t="inlineStr">
        <is>
          <t>12/2018</t>
        </is>
      </c>
      <c r="B209" s="45" t="n">
        <v>0.15</v>
      </c>
      <c r="C209" s="46" t="n">
        <v>2.832235007802945</v>
      </c>
      <c r="D209" s="44" t="inlineStr">
        <is>
          <t>data-base dos lucros anuais</t>
        </is>
      </c>
    </row>
    <row r="210">
      <c r="A210" s="47" t="inlineStr">
        <is>
          <t>01/2019</t>
        </is>
      </c>
      <c r="B210" s="48" t="n">
        <v>0.32</v>
      </c>
      <c r="C210" s="49" t="n">
        <v>2.841298159827915</v>
      </c>
      <c r="D210" s="47" t="inlineStr"/>
    </row>
    <row r="211">
      <c r="A211" s="47" t="inlineStr">
        <is>
          <t>02/2019</t>
        </is>
      </c>
      <c r="B211" s="48" t="n">
        <v>0.43</v>
      </c>
      <c r="C211" s="49" t="n">
        <v>2.853515741915174</v>
      </c>
      <c r="D211" s="47" t="inlineStr"/>
    </row>
    <row r="212">
      <c r="A212" s="47" t="inlineStr">
        <is>
          <t>03/2019</t>
        </is>
      </c>
      <c r="B212" s="48" t="n">
        <v>0.75</v>
      </c>
      <c r="C212" s="49" t="n">
        <v>2.874917109979538</v>
      </c>
      <c r="D212" s="47" t="inlineStr"/>
    </row>
    <row r="213">
      <c r="A213" s="47" t="inlineStr">
        <is>
          <t>04/2019</t>
        </is>
      </c>
      <c r="B213" s="48" t="n">
        <v>0.57</v>
      </c>
      <c r="C213" s="49" t="n">
        <v>2.891304137506422</v>
      </c>
      <c r="D213" s="47" t="inlineStr"/>
    </row>
    <row r="214">
      <c r="A214" s="47" t="inlineStr">
        <is>
          <t>05/2019</t>
        </is>
      </c>
      <c r="B214" s="48" t="n">
        <v>0.13</v>
      </c>
      <c r="C214" s="49" t="n">
        <v>2.89506283288518</v>
      </c>
      <c r="D214" s="47" t="inlineStr"/>
    </row>
    <row r="215">
      <c r="A215" s="47" t="inlineStr">
        <is>
          <t>06/2019</t>
        </is>
      </c>
      <c r="B215" s="48" t="n">
        <v>0.01</v>
      </c>
      <c r="C215" s="49" t="n">
        <v>2.895352339168469</v>
      </c>
      <c r="D215" s="47" t="inlineStr"/>
    </row>
    <row r="216">
      <c r="A216" s="47" t="inlineStr">
        <is>
          <t>07/2019</t>
        </is>
      </c>
      <c r="B216" s="48" t="n">
        <v>0.19</v>
      </c>
      <c r="C216" s="49" t="n">
        <v>2.900853508612889</v>
      </c>
      <c r="D216" s="47" t="inlineStr"/>
    </row>
    <row r="217">
      <c r="A217" s="47" t="inlineStr">
        <is>
          <t>08/2019</t>
        </is>
      </c>
      <c r="B217" s="48" t="n">
        <v>0.11</v>
      </c>
      <c r="C217" s="49" t="n">
        <v>2.904044447472363</v>
      </c>
      <c r="D217" s="47" t="inlineStr"/>
    </row>
    <row r="218">
      <c r="A218" s="47" t="inlineStr">
        <is>
          <t>09/2019</t>
        </is>
      </c>
      <c r="B218" s="48" t="n">
        <v>-0.04</v>
      </c>
      <c r="C218" s="49" t="n">
        <v>2.902882829693375</v>
      </c>
      <c r="D218" s="47" t="inlineStr"/>
    </row>
    <row r="219">
      <c r="A219" s="47" t="inlineStr">
        <is>
          <t>10/2019</t>
        </is>
      </c>
      <c r="B219" s="48" t="n">
        <v>0.1</v>
      </c>
      <c r="C219" s="49" t="n">
        <v>2.905785712523068</v>
      </c>
      <c r="D219" s="47" t="inlineStr"/>
    </row>
    <row r="220">
      <c r="A220" s="47" t="inlineStr">
        <is>
          <t>11/2019</t>
        </is>
      </c>
      <c r="B220" s="48" t="n">
        <v>0.51</v>
      </c>
      <c r="C220" s="49" t="n">
        <v>2.920605219656936</v>
      </c>
      <c r="D220" s="47" t="inlineStr"/>
    </row>
    <row r="221">
      <c r="A221" s="44" t="inlineStr">
        <is>
          <t>12/2019</t>
        </is>
      </c>
      <c r="B221" s="45" t="n">
        <v>1.15</v>
      </c>
      <c r="C221" s="46" t="n">
        <v>2.954192179682991</v>
      </c>
      <c r="D221" s="44" t="inlineStr">
        <is>
          <t>data-base dos lucros anuais</t>
        </is>
      </c>
    </row>
    <row r="222">
      <c r="A222" s="47" t="inlineStr">
        <is>
          <t>01/2020</t>
        </is>
      </c>
      <c r="B222" s="48" t="n">
        <v>0.21</v>
      </c>
      <c r="C222" s="49" t="n">
        <v>2.960395983260325</v>
      </c>
      <c r="D222" s="47" t="inlineStr"/>
    </row>
    <row r="223">
      <c r="A223" s="47" t="inlineStr">
        <is>
          <t>02/2020</t>
        </is>
      </c>
      <c r="B223" s="48" t="n">
        <v>0.25</v>
      </c>
      <c r="C223" s="49" t="n">
        <v>2.967796973218475</v>
      </c>
      <c r="D223" s="47" t="inlineStr"/>
    </row>
    <row r="224">
      <c r="A224" s="47" t="inlineStr">
        <is>
          <t>03/2020</t>
        </is>
      </c>
      <c r="B224" s="48" t="n">
        <v>0.07000000000000001</v>
      </c>
      <c r="C224" s="49" t="n">
        <v>2.969874431099728</v>
      </c>
      <c r="D224" s="47" t="inlineStr"/>
    </row>
    <row r="225">
      <c r="A225" s="47" t="inlineStr">
        <is>
          <t>04/2020</t>
        </is>
      </c>
      <c r="B225" s="48" t="n">
        <v>-0.31</v>
      </c>
      <c r="C225" s="49" t="n">
        <v>2.960667820363319</v>
      </c>
      <c r="D225" s="47" t="inlineStr"/>
    </row>
    <row r="226">
      <c r="A226" s="47" t="inlineStr">
        <is>
          <t>05/2020</t>
        </is>
      </c>
      <c r="B226" s="48" t="n">
        <v>-0.38</v>
      </c>
      <c r="C226" s="49" t="n">
        <v>2.949417282645938</v>
      </c>
      <c r="D226" s="47" t="inlineStr"/>
    </row>
    <row r="227">
      <c r="A227" s="47" t="inlineStr">
        <is>
          <t>06/2020</t>
        </is>
      </c>
      <c r="B227" s="48" t="n">
        <v>0.26</v>
      </c>
      <c r="C227" s="49" t="n">
        <v>2.957085767580817</v>
      </c>
      <c r="D227" s="47" t="inlineStr"/>
    </row>
    <row r="228">
      <c r="A228" s="47" t="inlineStr">
        <is>
          <t>07/2020</t>
        </is>
      </c>
      <c r="B228" s="48" t="n">
        <v>0.36</v>
      </c>
      <c r="C228" s="49" t="n">
        <v>2.967731276344109</v>
      </c>
      <c r="D228" s="47" t="inlineStr"/>
    </row>
    <row r="229">
      <c r="A229" s="47" t="inlineStr">
        <is>
          <t>08/2020</t>
        </is>
      </c>
      <c r="B229" s="48" t="n">
        <v>0.24</v>
      </c>
      <c r="C229" s="49" t="n">
        <v>2.974853831407335</v>
      </c>
      <c r="D229" s="47" t="inlineStr"/>
    </row>
    <row r="230">
      <c r="A230" s="47" t="inlineStr">
        <is>
          <t>09/2020</t>
        </is>
      </c>
      <c r="B230" s="48" t="n">
        <v>0.64</v>
      </c>
      <c r="C230" s="49" t="n">
        <v>2.993892895928342</v>
      </c>
      <c r="D230" s="47" t="inlineStr"/>
    </row>
    <row r="231">
      <c r="A231" s="47" t="inlineStr">
        <is>
          <t>10/2020</t>
        </is>
      </c>
      <c r="B231" s="48" t="n">
        <v>0.86</v>
      </c>
      <c r="C231" s="49" t="n">
        <v>3.019640374833325</v>
      </c>
      <c r="D231" s="47" t="inlineStr"/>
    </row>
    <row r="232">
      <c r="A232" s="47" t="inlineStr">
        <is>
          <t>11/2020</t>
        </is>
      </c>
      <c r="B232" s="48" t="n">
        <v>0.89</v>
      </c>
      <c r="C232" s="49" t="n">
        <v>3.046515174169341</v>
      </c>
      <c r="D232" s="47" t="inlineStr"/>
    </row>
    <row r="233">
      <c r="A233" s="44" t="inlineStr">
        <is>
          <t>12/2020</t>
        </is>
      </c>
      <c r="B233" s="45" t="n">
        <v>1.35</v>
      </c>
      <c r="C233" s="46" t="n">
        <v>3.087643129020628</v>
      </c>
      <c r="D233" s="44" t="inlineStr">
        <is>
          <t>data-base dos lucros anuais</t>
        </is>
      </c>
    </row>
    <row r="234">
      <c r="A234" s="47" t="inlineStr">
        <is>
          <t>01/2021</t>
        </is>
      </c>
      <c r="B234" s="48" t="n">
        <v>0.25</v>
      </c>
      <c r="C234" s="49" t="n">
        <v>3.095362236843179</v>
      </c>
      <c r="D234" s="47" t="inlineStr"/>
    </row>
    <row r="235">
      <c r="A235" s="47" t="inlineStr">
        <is>
          <t>02/2021</t>
        </is>
      </c>
      <c r="B235" s="48" t="n">
        <v>0.86</v>
      </c>
      <c r="C235" s="49" t="n">
        <v>3.12198235208003</v>
      </c>
      <c r="D235" s="47" t="inlineStr"/>
    </row>
    <row r="236">
      <c r="A236" s="47" t="inlineStr">
        <is>
          <t>03/2021</t>
        </is>
      </c>
      <c r="B236" s="48" t="n">
        <v>0.93</v>
      </c>
      <c r="C236" s="49" t="n">
        <v>3.151016787954375</v>
      </c>
      <c r="D236" s="47" t="inlineStr"/>
    </row>
    <row r="237">
      <c r="A237" s="47" t="inlineStr">
        <is>
          <t>04/2021</t>
        </is>
      </c>
      <c r="B237" s="48" t="n">
        <v>0.31</v>
      </c>
      <c r="C237" s="49" t="n">
        <v>3.160784939997034</v>
      </c>
      <c r="D237" s="47" t="inlineStr"/>
    </row>
    <row r="238">
      <c r="A238" s="47" t="inlineStr">
        <is>
          <t>05/2021</t>
        </is>
      </c>
      <c r="B238" s="48" t="n">
        <v>0.83</v>
      </c>
      <c r="C238" s="49" t="n">
        <v>3.187019454999009</v>
      </c>
      <c r="D238" s="47" t="inlineStr"/>
    </row>
    <row r="239">
      <c r="A239" s="47" t="inlineStr">
        <is>
          <t>06/2021</t>
        </is>
      </c>
      <c r="B239" s="48" t="n">
        <v>0.53</v>
      </c>
      <c r="C239" s="49" t="n">
        <v>3.203910658110504</v>
      </c>
      <c r="D239" s="47" t="inlineStr"/>
    </row>
    <row r="240">
      <c r="A240" s="47" t="inlineStr">
        <is>
          <t>07/2021</t>
        </is>
      </c>
      <c r="B240" s="48" t="n">
        <v>0.96</v>
      </c>
      <c r="C240" s="49" t="n">
        <v>3.234668200428365</v>
      </c>
      <c r="D240" s="47" t="inlineStr"/>
    </row>
    <row r="241">
      <c r="A241" s="47" t="inlineStr">
        <is>
          <t>08/2021</t>
        </is>
      </c>
      <c r="B241" s="48" t="n">
        <v>0.87</v>
      </c>
      <c r="C241" s="49" t="n">
        <v>3.262809813772092</v>
      </c>
      <c r="D241" s="47" t="inlineStr"/>
    </row>
    <row r="242">
      <c r="A242" s="47" t="inlineStr">
        <is>
          <t>09/2021</t>
        </is>
      </c>
      <c r="B242" s="48" t="n">
        <v>1.16</v>
      </c>
      <c r="C242" s="49" t="n">
        <v>3.300658407611848</v>
      </c>
      <c r="D242" s="47" t="inlineStr"/>
    </row>
    <row r="243">
      <c r="A243" s="47" t="inlineStr">
        <is>
          <t>10/2021</t>
        </is>
      </c>
      <c r="B243" s="48" t="n">
        <v>1.25</v>
      </c>
      <c r="C243" s="49" t="n">
        <v>3.341916637706996</v>
      </c>
      <c r="D243" s="47" t="inlineStr"/>
    </row>
    <row r="244">
      <c r="A244" s="47" t="inlineStr">
        <is>
          <t>11/2021</t>
        </is>
      </c>
      <c r="B244" s="48" t="n">
        <v>0.95</v>
      </c>
      <c r="C244" s="49" t="n">
        <v>3.373664845765213</v>
      </c>
      <c r="D244" s="47" t="inlineStr"/>
    </row>
    <row r="245">
      <c r="A245" s="44" t="inlineStr">
        <is>
          <t>12/2021</t>
        </is>
      </c>
      <c r="B245" s="45" t="n">
        <v>0.73</v>
      </c>
      <c r="C245" s="46" t="n">
        <v>3.398292599139299</v>
      </c>
      <c r="D245" s="44" t="inlineStr">
        <is>
          <t>data-base dos lucros anuais</t>
        </is>
      </c>
    </row>
    <row r="246">
      <c r="A246" s="47" t="inlineStr">
        <is>
          <t>01/2022</t>
        </is>
      </c>
      <c r="B246" s="48" t="n">
        <v>0.54</v>
      </c>
      <c r="C246" s="49" t="n">
        <v>3.416643379174652</v>
      </c>
      <c r="D246" s="47" t="inlineStr"/>
    </row>
    <row r="247">
      <c r="A247" s="47" t="inlineStr">
        <is>
          <t>02/2022</t>
        </is>
      </c>
      <c r="B247" s="48" t="n">
        <v>1.01</v>
      </c>
      <c r="C247" s="49" t="n">
        <v>3.451151477304316</v>
      </c>
      <c r="D247" s="47" t="inlineStr"/>
    </row>
    <row r="248">
      <c r="A248" s="47" t="inlineStr">
        <is>
          <t>03/2022</t>
        </is>
      </c>
      <c r="B248" s="48" t="n">
        <v>1.62</v>
      </c>
      <c r="C248" s="49" t="n">
        <v>3.507060131236646</v>
      </c>
      <c r="D248" s="47" t="inlineStr"/>
    </row>
    <row r="249">
      <c r="A249" s="47" t="inlineStr">
        <is>
          <t>04/2022</t>
        </is>
      </c>
      <c r="B249" s="48" t="n">
        <v>1.06</v>
      </c>
      <c r="C249" s="49" t="n">
        <v>3.544234968627754</v>
      </c>
      <c r="D249" s="47" t="inlineStr"/>
    </row>
    <row r="250">
      <c r="A250" s="47" t="inlineStr">
        <is>
          <t>05/2022</t>
        </is>
      </c>
      <c r="B250" s="48" t="n">
        <v>0.47</v>
      </c>
      <c r="C250" s="49" t="n">
        <v>3.560892872980304</v>
      </c>
      <c r="D250" s="47" t="inlineStr"/>
    </row>
    <row r="251">
      <c r="A251" s="47" t="inlineStr">
        <is>
          <t>06/2022</t>
        </is>
      </c>
      <c r="B251" s="48" t="n">
        <v>0.67</v>
      </c>
      <c r="C251" s="49" t="n">
        <v>3.584750855229272</v>
      </c>
      <c r="D251" s="47" t="inlineStr"/>
    </row>
    <row r="252">
      <c r="A252" s="47" t="inlineStr">
        <is>
          <t>07/2022</t>
        </is>
      </c>
      <c r="B252" s="48" t="n">
        <v>-0.68</v>
      </c>
      <c r="C252" s="49" t="n">
        <v>3.560374549413713</v>
      </c>
      <c r="D252" s="47" t="inlineStr"/>
    </row>
    <row r="253">
      <c r="A253" s="47" t="inlineStr">
        <is>
          <t>08/2022</t>
        </is>
      </c>
      <c r="B253" s="48" t="n">
        <v>-0.36</v>
      </c>
      <c r="C253" s="49" t="n">
        <v>3.547557201035823</v>
      </c>
      <c r="D253" s="47" t="inlineStr"/>
    </row>
    <row r="254">
      <c r="A254" s="47" t="inlineStr">
        <is>
          <t>09/2022</t>
        </is>
      </c>
      <c r="B254" s="48" t="n">
        <v>-0.29</v>
      </c>
      <c r="C254" s="49" t="n">
        <v>3.537269285152819</v>
      </c>
      <c r="D254" s="47" t="inlineStr"/>
    </row>
    <row r="255">
      <c r="A255" s="47" t="inlineStr">
        <is>
          <t>10/2022</t>
        </is>
      </c>
      <c r="B255" s="48" t="n">
        <v>0.59</v>
      </c>
      <c r="C255" s="49" t="n">
        <v>3.558139173935221</v>
      </c>
      <c r="D255" s="47" t="inlineStr"/>
    </row>
    <row r="256">
      <c r="A256" s="47" t="inlineStr">
        <is>
          <t>11/2022</t>
        </is>
      </c>
      <c r="B256" s="48" t="n">
        <v>0.41</v>
      </c>
      <c r="C256" s="49" t="n">
        <v>3.572727544548355</v>
      </c>
      <c r="D256" s="47" t="inlineStr"/>
    </row>
    <row r="257">
      <c r="A257" s="44" t="inlineStr">
        <is>
          <t>12/2022</t>
        </is>
      </c>
      <c r="B257" s="45" t="n">
        <v>0.62</v>
      </c>
      <c r="C257" s="46" t="n">
        <v>3.594878455324555</v>
      </c>
      <c r="D257" s="44" t="inlineStr">
        <is>
          <t>data-base dos lucros anuais</t>
        </is>
      </c>
    </row>
    <row r="258">
      <c r="A258" s="47" t="inlineStr">
        <is>
          <t>01/2023</t>
        </is>
      </c>
      <c r="B258" s="48" t="n">
        <v>0.53</v>
      </c>
      <c r="C258" s="49" t="n">
        <v>3.613931311137775</v>
      </c>
      <c r="D258" s="47" t="inlineStr"/>
    </row>
    <row r="259">
      <c r="A259" s="47" t="inlineStr">
        <is>
          <t>02/2023</t>
        </is>
      </c>
      <c r="B259" s="48" t="n">
        <v>0.84</v>
      </c>
      <c r="C259" s="49" t="n">
        <v>3.644288334151332</v>
      </c>
      <c r="D259" s="47" t="inlineStr"/>
    </row>
    <row r="260">
      <c r="A260" s="47" t="inlineStr">
        <is>
          <t>03/2023</t>
        </is>
      </c>
      <c r="B260" s="48" t="n">
        <v>0.71</v>
      </c>
      <c r="C260" s="49" t="n">
        <v>3.670162781323807</v>
      </c>
      <c r="D260" s="47" t="inlineStr"/>
    </row>
    <row r="261">
      <c r="A261" s="47" t="inlineStr">
        <is>
          <t>04/2023</t>
        </is>
      </c>
      <c r="B261" s="48" t="n">
        <v>0.61</v>
      </c>
      <c r="C261" s="49" t="n">
        <v>3.692550774289883</v>
      </c>
      <c r="D261" s="47" t="inlineStr"/>
    </row>
    <row r="262">
      <c r="A262" s="47" t="inlineStr">
        <is>
          <t>05/2023</t>
        </is>
      </c>
      <c r="B262" s="48" t="n">
        <v>0.23</v>
      </c>
      <c r="C262" s="49" t="n">
        <v>3.701043641070749</v>
      </c>
      <c r="D262" s="47" t="inlineStr"/>
    </row>
    <row r="263">
      <c r="A263" s="47" t="inlineStr">
        <is>
          <t>06/2023</t>
        </is>
      </c>
      <c r="B263" s="48" t="n">
        <v>-0.08</v>
      </c>
      <c r="C263" s="49" t="n">
        <v>3.698082806157893</v>
      </c>
      <c r="D263" s="47" t="inlineStr"/>
    </row>
    <row r="264">
      <c r="A264" s="47" t="inlineStr">
        <is>
          <t>07/2023</t>
        </is>
      </c>
      <c r="B264" s="48" t="n">
        <v>0.12</v>
      </c>
      <c r="C264" s="49" t="n">
        <v>3.702520505525283</v>
      </c>
      <c r="D264" s="47" t="inlineStr"/>
    </row>
    <row r="265">
      <c r="A265" s="47" t="inlineStr">
        <is>
          <t>08/2023</t>
        </is>
      </c>
      <c r="B265" s="48" t="n">
        <v>0.23</v>
      </c>
      <c r="C265" s="49" t="n">
        <v>3.711036302687991</v>
      </c>
      <c r="D265" s="47" t="inlineStr"/>
    </row>
    <row r="266">
      <c r="A266" s="47" t="inlineStr">
        <is>
          <t>09/2023</t>
        </is>
      </c>
      <c r="B266" s="48" t="n">
        <v>0.26</v>
      </c>
      <c r="C266" s="49" t="n">
        <v>3.720684997074979</v>
      </c>
      <c r="D266" s="47" t="inlineStr"/>
    </row>
    <row r="267">
      <c r="A267" s="47" t="inlineStr">
        <is>
          <t>10/2023</t>
        </is>
      </c>
      <c r="B267" s="48" t="n">
        <v>0.24</v>
      </c>
      <c r="C267" s="49" t="n">
        <v>3.729614641067959</v>
      </c>
      <c r="D267" s="47" t="inlineStr"/>
    </row>
    <row r="268">
      <c r="A268" s="47" t="inlineStr">
        <is>
          <t>11/2023</t>
        </is>
      </c>
      <c r="B268" s="48" t="n">
        <v>0.28</v>
      </c>
      <c r="C268" s="49" t="n">
        <v>3.740057562062949</v>
      </c>
      <c r="D268" s="47" t="inlineStr"/>
    </row>
    <row r="269">
      <c r="A269" s="44" t="inlineStr">
        <is>
          <t>12/2023</t>
        </is>
      </c>
      <c r="B269" s="45" t="n">
        <v>0.5600000000000001</v>
      </c>
      <c r="C269" s="46" t="n">
        <v>3.761001884410502</v>
      </c>
      <c r="D269" s="44" t="inlineStr">
        <is>
          <t>data-base dos lucros anuais</t>
        </is>
      </c>
    </row>
    <row r="270">
      <c r="A270" s="47" t="inlineStr">
        <is>
          <t>01/2024</t>
        </is>
      </c>
      <c r="B270" s="48" t="n">
        <v>0.42</v>
      </c>
      <c r="C270" s="49" t="n">
        <v>3.776798092325026</v>
      </c>
      <c r="D270" s="47" t="inlineStr"/>
    </row>
    <row r="271">
      <c r="A271" s="47" t="inlineStr">
        <is>
          <t>02/2024</t>
        </is>
      </c>
      <c r="B271" s="48" t="n">
        <v>0.83</v>
      </c>
      <c r="C271" s="49" t="n">
        <v>3.808145516491323</v>
      </c>
      <c r="D271" s="47" t="inlineStr"/>
    </row>
    <row r="272">
      <c r="A272" s="47" t="inlineStr">
        <is>
          <t>03/2024</t>
        </is>
      </c>
      <c r="B272" s="48" t="n">
        <v>0.16</v>
      </c>
      <c r="C272" s="49" t="n">
        <v>3.81423854931771</v>
      </c>
      <c r="D272" s="47" t="inlineStr"/>
    </row>
    <row r="273">
      <c r="A273" s="47" t="inlineStr">
        <is>
          <t>04/2024</t>
        </is>
      </c>
      <c r="B273" s="48" t="n">
        <v>0.38</v>
      </c>
      <c r="C273" s="49" t="n">
        <v>3.828732655805117</v>
      </c>
      <c r="D273" s="47" t="inlineStr"/>
    </row>
    <row r="274">
      <c r="A274" s="47" t="inlineStr">
        <is>
          <t>05/2024</t>
        </is>
      </c>
      <c r="B274" s="48" t="n">
        <v>0.46</v>
      </c>
      <c r="C274" s="49" t="n">
        <v>3.84634482602182</v>
      </c>
      <c r="D274" s="47" t="inlineStr"/>
    </row>
    <row r="275">
      <c r="A275" s="47" t="inlineStr">
        <is>
          <t>06/2024</t>
        </is>
      </c>
      <c r="B275" s="48" t="n">
        <v>0.21</v>
      </c>
      <c r="C275" s="49" t="n">
        <v>3.854422150156466</v>
      </c>
      <c r="D275" s="47" t="inlineStr"/>
    </row>
    <row r="276">
      <c r="A276" s="47" t="inlineStr">
        <is>
          <t>07/2024</t>
        </is>
      </c>
      <c r="B276" s="48" t="n">
        <v>0.38</v>
      </c>
      <c r="C276" s="49" t="n">
        <v>3.86906895432706</v>
      </c>
      <c r="D276" s="47" t="inlineStr"/>
    </row>
    <row r="277">
      <c r="A277" s="47" t="inlineStr">
        <is>
          <t>08/2024</t>
        </is>
      </c>
      <c r="B277" s="48" t="n">
        <v>-0.02</v>
      </c>
      <c r="C277" s="49" t="n">
        <v>3.868295140536195</v>
      </c>
      <c r="D277" s="47" t="inlineStr"/>
    </row>
    <row r="278">
      <c r="A278" s="47" t="inlineStr">
        <is>
          <t>09/2024</t>
        </is>
      </c>
      <c r="B278" s="48" t="n">
        <v>0.44</v>
      </c>
      <c r="C278" s="49" t="n">
        <v>3.885315639154554</v>
      </c>
      <c r="D278" s="47" t="inlineStr"/>
    </row>
    <row r="279">
      <c r="A279" s="47" t="inlineStr">
        <is>
          <t>10/2024</t>
        </is>
      </c>
      <c r="B279" s="48" t="n">
        <v>0.5600000000000001</v>
      </c>
      <c r="C279" s="49" t="n">
        <v>3.90707340673382</v>
      </c>
      <c r="D279" s="47" t="inlineStr"/>
    </row>
    <row r="280">
      <c r="A280" s="47" t="inlineStr">
        <is>
          <t>11/2024</t>
        </is>
      </c>
      <c r="B280" s="48" t="n">
        <v>0.39</v>
      </c>
      <c r="C280" s="49" t="n">
        <v>3.922310993020082</v>
      </c>
      <c r="D280" s="47" t="inlineStr"/>
    </row>
    <row r="281">
      <c r="A281" s="44" t="inlineStr">
        <is>
          <t>12/2024</t>
        </is>
      </c>
      <c r="B281" s="45" t="n">
        <v>0.52</v>
      </c>
      <c r="C281" s="46" t="n">
        <v>3.942707010183787</v>
      </c>
      <c r="D281" s="44" t="inlineStr">
        <is>
          <t>data-base dos lucros anuais</t>
        </is>
      </c>
    </row>
    <row r="282">
      <c r="A282" s="47" t="inlineStr">
        <is>
          <t>01/2025</t>
        </is>
      </c>
      <c r="B282" s="48" t="n">
        <v>0.16</v>
      </c>
      <c r="C282" s="49" t="n">
        <v>3.949015341400081</v>
      </c>
      <c r="D282" s="47" t="inlineStr"/>
    </row>
    <row r="283">
      <c r="A283" s="47" t="inlineStr">
        <is>
          <t>02/2025</t>
        </is>
      </c>
      <c r="B283" s="48" t="n">
        <v>1.31</v>
      </c>
      <c r="C283" s="49" t="n">
        <v>4.000747442372423</v>
      </c>
      <c r="D283" s="47" t="inlineStr"/>
    </row>
    <row r="284">
      <c r="A284" s="47" t="inlineStr">
        <is>
          <t>03/2025</t>
        </is>
      </c>
      <c r="B284" s="48" t="n">
        <v>0.5600000000000001</v>
      </c>
      <c r="C284" s="49" t="n">
        <v>4.023151628049709</v>
      </c>
      <c r="D284" s="47" t="inlineStr"/>
    </row>
    <row r="285">
      <c r="A285" s="47" t="inlineStr">
        <is>
          <t>04/2025</t>
        </is>
      </c>
      <c r="B285" s="48" t="n">
        <v>0.43</v>
      </c>
      <c r="C285" s="49" t="n">
        <v>4.040451180050322</v>
      </c>
      <c r="D285" s="47" t="inlineStr"/>
    </row>
    <row r="286">
      <c r="A286" s="47" t="inlineStr">
        <is>
          <t>05/2025</t>
        </is>
      </c>
      <c r="B286" s="48" t="n">
        <v>0.26</v>
      </c>
      <c r="C286" s="49" t="n">
        <v>4.050956353118453</v>
      </c>
      <c r="D286" s="47" t="inlineStr"/>
    </row>
    <row r="287">
      <c r="A287" s="47" t="inlineStr">
        <is>
          <t>06/2025</t>
        </is>
      </c>
      <c r="B287" s="48" t="n">
        <v>0.24</v>
      </c>
      <c r="C287" s="49" t="n">
        <v>4.060678648365937</v>
      </c>
      <c r="D287" s="47" t="inlineStr"/>
    </row>
    <row r="288">
      <c r="A288" s="47" t="inlineStr">
        <is>
          <t>07/2025</t>
        </is>
      </c>
      <c r="B288" s="48" t="n">
        <v>0.26</v>
      </c>
      <c r="C288" s="49" t="n">
        <v>4.071236412851689</v>
      </c>
      <c r="D288" s="47" t="inlineStr"/>
    </row>
    <row r="289">
      <c r="A289" s="47" t="inlineStr">
        <is>
          <t>08/2025</t>
        </is>
      </c>
      <c r="B289" s="48" t="n">
        <v>-0.11</v>
      </c>
      <c r="C289" s="49" t="n">
        <v>4.066758052797552</v>
      </c>
      <c r="D289" s="47" t="inlineStr"/>
    </row>
    <row r="290">
      <c r="A290" s="47" t="inlineStr">
        <is>
          <t>09/2025</t>
        </is>
      </c>
      <c r="B290" s="48" t="n">
        <v>0.48</v>
      </c>
      <c r="C290" s="49" t="n">
        <v>4.08627849145098</v>
      </c>
      <c r="D290" s="47" t="inlineStr"/>
    </row>
    <row r="291">
      <c r="A291" s="47" t="inlineStr">
        <is>
          <t>10/2025</t>
        </is>
      </c>
      <c r="B291" s="48" t="n">
        <v>0.09</v>
      </c>
      <c r="C291" s="49" t="n">
        <v>4.089956142093286</v>
      </c>
      <c r="D291" s="47" t="inlineStr"/>
    </row>
    <row r="292">
      <c r="A292" s="47" t="inlineStr">
        <is>
          <t>11/2025</t>
        </is>
      </c>
      <c r="B292" s="48" t="n">
        <v>0.18</v>
      </c>
      <c r="C292" s="49" t="n">
        <v>4.097318063149054</v>
      </c>
      <c r="D292" s="47" t="inlineStr"/>
    </row>
    <row r="293">
      <c r="A293" s="44" t="inlineStr">
        <is>
          <t>12/2025</t>
        </is>
      </c>
      <c r="B293" s="45" t="n">
        <v>0.33</v>
      </c>
      <c r="C293" s="46" t="n">
        <v>4.110839212757446</v>
      </c>
      <c r="D293" s="44" t="inlineStr">
        <is>
          <t>data-base dos lucros anuais</t>
        </is>
      </c>
    </row>
    <row r="294">
      <c r="A294" s="47" t="inlineStr">
        <is>
          <t>01/2026</t>
        </is>
      </c>
      <c r="B294" s="48" t="n">
        <v>0.33</v>
      </c>
      <c r="C294" s="49" t="n">
        <v>4.124404982159546</v>
      </c>
      <c r="D294" s="47" t="inlineStr"/>
    </row>
    <row r="295">
      <c r="A295" s="47" t="inlineStr">
        <is>
          <t>02/2026</t>
        </is>
      </c>
      <c r="B295" s="48" t="n">
        <v>0.7</v>
      </c>
      <c r="C295" s="49" t="n">
        <v>4.153275817034662</v>
      </c>
      <c r="D295" s="47" t="inlineStr"/>
    </row>
    <row r="296">
      <c r="A296" s="47" t="inlineStr">
        <is>
          <t>03/2026</t>
        </is>
      </c>
      <c r="B296" s="48" t="n">
        <v>0.88</v>
      </c>
      <c r="C296" s="49" t="n">
        <v>4.189824644224567</v>
      </c>
      <c r="D296" s="47" t="inlineStr"/>
    </row>
    <row r="297">
      <c r="A297" s="47" t="inlineStr">
        <is>
          <t>04/2026</t>
        </is>
      </c>
      <c r="B297" s="48" t="n">
        <v>0.67</v>
      </c>
      <c r="C297" s="49" t="n">
        <v>4.217896469340871</v>
      </c>
      <c r="D297" s="47" t="inlineStr"/>
    </row>
    <row r="298">
      <c r="A298" s="47" t="inlineStr">
        <is>
          <t>05/2026</t>
        </is>
      </c>
      <c r="B298" s="48" t="n">
        <v>0.58</v>
      </c>
      <c r="C298" s="49" t="n">
        <v>4.242360268863048</v>
      </c>
      <c r="D298" s="47" t="inlineStr"/>
    </row>
    <row r="299">
      <c r="A299" s="44" t="inlineStr">
        <is>
          <t>06/2026</t>
        </is>
      </c>
      <c r="B299" s="45" t="n">
        <v>0.16</v>
      </c>
      <c r="C299" s="46" t="n">
        <v>4.249148045293229</v>
      </c>
      <c r="D299" s="44" t="inlineStr">
        <is>
          <t>data-base do 1º semestre de 2026</t>
        </is>
      </c>
    </row>
    <row r="300">
      <c r="A300" s="47" t="inlineStr">
        <is>
          <t>07/2026</t>
        </is>
      </c>
      <c r="B300" s="48" t="n">
        <v>0.07000000000000001</v>
      </c>
      <c r="C300" s="49" t="n">
        <v>4.252122448924934</v>
      </c>
      <c r="D300" s="47" t="inlineStr"/>
    </row>
    <row r="301">
      <c r="A301" s="44" t="inlineStr">
        <is>
          <t>08/2026</t>
        </is>
      </c>
      <c r="B301" s="45" t="n">
        <v>-0.32</v>
      </c>
      <c r="C301" s="46" t="n">
        <v>4.238515657088374</v>
      </c>
      <c r="D301" s="44" t="inlineStr">
        <is>
          <t>data de chegada 31/08/2026</t>
        </is>
      </c>
    </row>
  </sheetData>
  <autoFilter ref="A4:D301"/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34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10" customWidth="1" min="2" max="2"/>
  </cols>
  <sheetData>
    <row r="1">
      <c r="A1" s="50" t="inlineStr">
        <is>
          <t>Critério, fontes e o que a série não é</t>
        </is>
      </c>
    </row>
    <row r="3">
      <c r="A3" s="37" t="inlineStr">
        <is>
          <t>O que está na coluna nominal</t>
        </is>
      </c>
    </row>
    <row r="4" ht="48" customHeight="1">
      <c r="A4" s="38" t="inlineStr">
        <is>
          <t>Lucro líquido contábil consolidado, em R$ milhões da época. De 2002 a 2009 é o número que o próprio banco chamou de net income / lucro líquido na DRE, depois das participações de minoritários — não o lucro recorrente nem o ajustado. De 2010 em diante é a linha da DFP/ITR consolidada da CVM “atribuído aos sócios da empresa controladora”, última versão de cada exercício, escala mil convertida para milhões. Essa é a linha do acionista da holding listada (Itaú Unibanco Holding S.A., CNPJ 60.872.504/0001-23, e Banco Bradesco S.A., CNPJ 60.746.948/0001-12).</t>
        </is>
      </c>
    </row>
    <row r="6">
      <c r="A6" s="37" t="inlineStr">
        <is>
          <t>Por que não o lucro recorrente</t>
        </is>
      </c>
    </row>
    <row r="7" ht="48" customHeight="1">
      <c r="A7" s="38" t="inlineStr">
        <is>
          <t>O recorrente muda de definição no tempo e tira eventos que o banco considera extraordinários (ágio, venda de participação, provisão). O pedido é de lucro líquido. Onde a diferença é grande, a observação do ano registra o recorrente ao lado.</t>
        </is>
      </c>
    </row>
    <row r="9">
      <c r="A9" s="37" t="inlineStr">
        <is>
          <t>Itaú, Unibanco e a fusão</t>
        </is>
      </c>
    </row>
    <row r="10" ht="48" customHeight="1">
      <c r="A10" s="38" t="inlineStr">
        <is>
          <t>Itaú até 2007 é o Banco Itaú Holding Financeira S.A., a holding listada, não a Itaúsa (que também consolidava Duratex e Itautec). Unibanco é o Unibanco - União de Bancos Brasileiros S.A., o banco operacional. A Unibanco Holdings S.A. tinha lucro menor porque não detinha 100% do banco; não é a série usada aqui, porque o número comparado com Itaú e Bradesco na época era o do banco. A associação foi anunciada em 3 de novembro de 2008. O lucro legal de 2008 da instituição que continuou é R$ 7.803 milhões e só traz o Unibanco no quarto trimestre. Por isso 2008 não aparece nas colunas Itaú e Unibanco. 2009 é o primeiro ano cheio do Itaú Unibanco.</t>
        </is>
      </c>
    </row>
    <row r="12">
      <c r="A12" s="37" t="inlineStr">
        <is>
          <t>Bradesco recente e o release</t>
        </is>
      </c>
    </row>
    <row r="13" ht="48" customHeight="1">
      <c r="A13" s="38" t="inlineStr">
        <is>
          <t>Em 2024 e 2025 o release do Bradesco destaca um lucro líquido contábil (R$ 19.086 milhões e R$ 24.550 milhões) maior do que a controladora na DFP IFRS (R$ 17.252,9 milhões e R$ 23.672,7 milhões). A planilha fica na DFP, que é a demonstração auditada depositada na CVM, para a série de 2010 a 2026 usar a mesma linha.</t>
        </is>
      </c>
    </row>
    <row r="15">
      <c r="A15" s="37" t="inlineStr">
        <is>
          <t>Correção pelo IPCA</t>
        </is>
      </c>
    </row>
    <row r="16" ht="48" customHeight="1">
      <c r="A16" s="38" t="inlineStr">
        <is>
          <t>Fonte: Banco Central, série SGS 433, variação mensal do IPCA. O IPCA de agosto de 2026, divulgado pelo IBGE, foi −0,32%, com alta de 3,11% no ano. Um lucro de 31/12/AAAA é multiplicado pelo produto dos IPCA de janeiro/AAAA+1 até agosto/2026. O 1º semestre de 2026 é multiplicado só por julho e agosto de 2026. Não há correção dentro do próprio ano do lucro: o resultado anual inteiro está posicionado em 31 de dezembro.</t>
        </is>
      </c>
    </row>
    <row r="18">
      <c r="A18" s="37" t="inlineStr">
        <is>
          <t>2026</t>
        </is>
      </c>
    </row>
    <row r="19" ht="48" customHeight="1">
      <c r="A19" s="38" t="inlineStr">
        <is>
          <t>Em 28/09/2026 o exercício de 2026 não está fechado. Os bancos já publicaram o ITR do segundo trimestre. A linha 2026 é o lucro do primeiro semestre (1º de janeiro a 30 de junho), sem anualizar.</t>
        </is>
      </c>
    </row>
    <row r="21">
      <c r="A21" s="37" t="inlineStr">
        <is>
          <t>Itaú 2002–2007</t>
        </is>
      </c>
    </row>
    <row r="22" ht="48" customHeight="1">
      <c r="A22" s="38" t="inlineStr">
        <is>
          <t>DRE consolidada arquivada na SEC: 6-K de 20/02/2004 (2002 e 2003), 6-K de 02/03/2005 arquivo bi2149 (2004), 6-K de 24/02/2006 arquivo ba4918 (2005), 6-K de 23/02/2007 arquivo bi9005 (2006) e release de 13/02/2008 (2007, R$ 8.474 milhões).</t>
        </is>
      </c>
    </row>
    <row r="24">
      <c r="A24" s="37" t="inlineStr">
        <is>
          <t>Unibanco 2002–2007</t>
        </is>
      </c>
    </row>
    <row r="25" ht="48" customHeight="1">
      <c r="A25" s="38" t="inlineStr">
        <is>
          <t>Releases e DRE em BR GAAP na SEC, CIK 0001038583: 14/02/2003 (2002, R$ 1.010 milhões), DRE de 2004 (2003 R$ 1.052,346 milhões e 2004 R$ 1.283,208 milhões), release de 23/02/2006 (2005), DRE de 2006 e de 2007.</t>
        </is>
      </c>
    </row>
    <row r="27">
      <c r="A27" s="37" t="inlineStr">
        <is>
          <t>Itaú Unibanco 2008–2009</t>
        </is>
      </c>
    </row>
    <row r="28" ht="48" customHeight="1">
      <c r="A28" s="38" t="inlineStr">
        <is>
          <t>2008: lucro líquido consolidado de R$ 7.803 milhões no relatório do exercício e na proposta à assembleia. 2009: lucro líquido da controladora de R$ 10.067 milhões no release do 4º trimestre de 2009.</t>
        </is>
      </c>
    </row>
    <row r="30">
      <c r="A30" s="37" t="inlineStr">
        <is>
          <t>2010–2025 e 1º semestre de 2026</t>
        </is>
      </c>
    </row>
    <row r="31" ht="48" customHeight="1">
      <c r="A31" s="38" t="inlineStr">
        <is>
          <t>CVM Dados Abertos, DFP consolidada (dfp_cia_aberta_DRE_con) e ITR 2026. Conta de lucro atribuído à controladora, ordem do exercício “ÚLTIMO”, maior número de versão. Arquivos consultados em 28/09/2026.</t>
        </is>
      </c>
    </row>
    <row r="33">
      <c r="A33" s="37" t="inlineStr">
        <is>
          <t>Bradesco 2002–2009</t>
        </is>
      </c>
    </row>
    <row r="34" ht="48" customHeight="1">
      <c r="A34" s="38" t="inlineStr">
        <is>
          <t>Earnings releases na SEC, CIK 0001160330, linha Net Income (não a linha Adjusted / Recurring): 2002 R$ 2.023 mi, 2003 R$ 2.306 mi, 2004 R$ 3.060 mi, 2005 R$ 5.514 mi, 2006 reportado R$ 5.054 mi, 2007 R$ 8.010 mi, 2008 R$ 7.620 mi, 2009 R$ 8.012 mi.</t>
        </is>
      </c>
    </row>
  </sheetData>
  <mergeCells count="12">
    <mergeCell ref="A4:B4"/>
    <mergeCell ref="A16:B16"/>
    <mergeCell ref="A7:B7"/>
    <mergeCell ref="A25:B25"/>
    <mergeCell ref="A19:B19"/>
    <mergeCell ref="A10:B10"/>
    <mergeCell ref="A28:B28"/>
    <mergeCell ref="A13:B13"/>
    <mergeCell ref="A1:B1"/>
    <mergeCell ref="A31:B31"/>
    <mergeCell ref="A22:B22"/>
    <mergeCell ref="A34:B34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scripts/lucros_bancos_ipca.py</dc:creator>
  <dc:title>Lucros líquidos Itaú, Unibanco e Bradesco atualizados pelo IPCA</dc:title>
  <dc:description>Lucro líquido contábil 2002–2025 e 1º semestre de 2026, em R$ de 31/08/2026 pelo IPCA (SGS 433).</dc:description>
  <dcterms:created xsi:type="dcterms:W3CDTF">2026-09-28T23:40:48Z</dcterms:created>
  <dcterms:modified xsi:type="dcterms:W3CDTF">2026-09-28T23:40:48Z</dcterms:modified>
</cp:coreProperties>
</file>