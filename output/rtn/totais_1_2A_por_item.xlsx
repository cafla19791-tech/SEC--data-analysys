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is_por_item" sheetId="1" state="visible" r:id="rId1"/>
    <sheet name="Periodos" sheetId="2" state="visible" r:id="rId2"/>
  </sheets>
  <definedNames>
    <definedName name="_xlnm._FilterDatabase" localSheetId="0" hidden="1">'Totais_por_item'!$A$12:$L$184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Aba 1.2-A — total por item (linhas 6–177) em cada período</t>
        </is>
      </c>
    </row>
    <row r="2">
      <c r="A2" t="inlineStr">
        <is>
          <t>R$ Milhões - Valores de Mai/2026 - IPCA</t>
        </is>
      </c>
    </row>
    <row r="3">
      <c r="A3" t="inlineStr">
        <is>
          <t>Cada celula = soma dos meses do periodo naquela linha (ex.: jan/97–dez/02 na linha 6 = SUM(B6:BU6)).</t>
        </is>
      </c>
    </row>
    <row r="4">
      <c r="A4" t="inlineStr">
        <is>
          <t>Fonte: data/rtn/serie_historica_mai26.xlsx</t>
        </is>
      </c>
    </row>
    <row r="5">
      <c r="A5" s="1" t="inlineStr">
        <is>
          <t>Mapeamento das colunas na planilha original:</t>
        </is>
      </c>
    </row>
    <row r="6">
      <c r="A6" t="inlineStr">
        <is>
          <t>1) jan/97–dez/02: B..BU (72 meses)  ex. linha 6 → =SUM(B6:BU6)</t>
        </is>
      </c>
    </row>
    <row r="7">
      <c r="A7" t="inlineStr">
        <is>
          <t>2) jan/03–mai/16: BV..HZ (161 meses)  ex. linha 6 → =SUM(BV6:HZ6)</t>
        </is>
      </c>
    </row>
    <row r="8">
      <c r="A8" t="inlineStr">
        <is>
          <t>3) jun/16–dez/18: IA..JE (31 meses)  ex. linha 6 → =SUM(IA6:JE6)</t>
        </is>
      </c>
    </row>
    <row r="9">
      <c r="A9" t="inlineStr">
        <is>
          <t>4) jan/19–dez/22: JF..LA (48 meses)  ex. linha 6 → =SUM(JF6:LA6)</t>
        </is>
      </c>
    </row>
    <row r="10">
      <c r="A10" t="inlineStr">
        <is>
          <t>5) jan/23–mai/26: LB..MP (41 meses)  ex. linha 6 → =SUM(LB6:MP6)</t>
        </is>
      </c>
    </row>
    <row r="12">
      <c r="A12" s="2" t="inlineStr">
        <is>
          <t>linha</t>
        </is>
      </c>
      <c r="B12" s="2" t="inlineStr">
        <is>
          <t>item</t>
        </is>
      </c>
      <c r="C12" s="2" t="inlineStr">
        <is>
          <t>jan/97–dez/02 (R$ mi)</t>
        </is>
      </c>
      <c r="D12" s="2" t="inlineStr">
        <is>
          <t>jan/03–mai/16 (R$ mi)</t>
        </is>
      </c>
      <c r="E12" s="2" t="inlineStr">
        <is>
          <t>jun/16–dez/18 (R$ mi)</t>
        </is>
      </c>
      <c r="F12" s="2" t="inlineStr">
        <is>
          <t>jan/19–dez/22 (R$ mi)</t>
        </is>
      </c>
      <c r="G12" s="2" t="inlineStr">
        <is>
          <t>jan/23–mai/26 (R$ mi)</t>
        </is>
      </c>
      <c r="H12" s="2" t="inlineStr">
        <is>
          <t>jan/97–dez/02 (R$ bi)</t>
        </is>
      </c>
      <c r="I12" s="2" t="inlineStr">
        <is>
          <t>jan/03–mai/16 (R$ bi)</t>
        </is>
      </c>
      <c r="J12" s="2" t="inlineStr">
        <is>
          <t>jun/16–dez/18 (R$ bi)</t>
        </is>
      </c>
      <c r="K12" s="2" t="inlineStr">
        <is>
          <t>jan/19–dez/22 (R$ bi)</t>
        </is>
      </c>
      <c r="L12" s="2" t="inlineStr">
        <is>
          <t>jan/23–mai/26 (R$ bi)</t>
        </is>
      </c>
    </row>
    <row r="13">
      <c r="A13" s="3" t="n">
        <v>6</v>
      </c>
      <c r="B13" s="3" t="inlineStr">
        <is>
          <t>1. RECEITA TOTAL 1/</t>
        </is>
      </c>
      <c r="C13" s="4" t="n">
        <v>6433212.26</v>
      </c>
      <c r="D13" s="4" t="n">
        <v>26103160.84</v>
      </c>
      <c r="E13" s="4" t="n">
        <v>5685250.9</v>
      </c>
      <c r="F13" s="4" t="n">
        <v>9781534.92</v>
      </c>
      <c r="G13" s="4" t="n">
        <v>10011944.15</v>
      </c>
      <c r="H13" s="4" t="n">
        <v>6433.21</v>
      </c>
      <c r="I13" s="4" t="n">
        <v>26103.16</v>
      </c>
      <c r="J13" s="4" t="n">
        <v>5685.25</v>
      </c>
      <c r="K13" s="4" t="n">
        <v>9781.530000000001</v>
      </c>
      <c r="L13" s="4" t="n">
        <v>10011.94</v>
      </c>
    </row>
    <row r="14">
      <c r="A14" s="3" t="n">
        <v>7</v>
      </c>
      <c r="B14" s="3" t="inlineStr">
        <is>
          <t>1.1 -  Receita Administrada pela RFB</t>
        </is>
      </c>
      <c r="C14" s="4" t="n">
        <v>4204612.16</v>
      </c>
      <c r="D14" s="4" t="n">
        <v>16512331.78</v>
      </c>
      <c r="E14" s="4" t="n">
        <v>3465680.67</v>
      </c>
      <c r="F14" s="4" t="n">
        <v>5899653.73</v>
      </c>
      <c r="G14" s="4" t="n">
        <v>6346662.02</v>
      </c>
      <c r="H14" s="4" t="n">
        <v>4204.61</v>
      </c>
      <c r="I14" s="4" t="n">
        <v>16512.33</v>
      </c>
      <c r="J14" s="4" t="n">
        <v>3465.68</v>
      </c>
      <c r="K14" s="4" t="n">
        <v>5899.65</v>
      </c>
      <c r="L14" s="4" t="n">
        <v>6346.66</v>
      </c>
    </row>
    <row r="15">
      <c r="A15" s="3" t="n">
        <v>8</v>
      </c>
      <c r="B15" s="3" t="inlineStr">
        <is>
          <t>1.1.01    Imposto sobre a Importação</t>
        </is>
      </c>
      <c r="C15" s="4" t="n">
        <v>212471.52</v>
      </c>
      <c r="D15" s="4" t="n">
        <v>657482.61</v>
      </c>
      <c r="E15" s="4" t="n">
        <v>141925.57</v>
      </c>
      <c r="F15" s="4" t="n">
        <v>280079.71</v>
      </c>
      <c r="G15" s="4" t="n">
        <v>284722.28</v>
      </c>
      <c r="H15" s="4" t="n">
        <v>212.47</v>
      </c>
      <c r="I15" s="4" t="n">
        <v>657.48</v>
      </c>
      <c r="J15" s="4" t="n">
        <v>141.93</v>
      </c>
      <c r="K15" s="4" t="n">
        <v>280.08</v>
      </c>
      <c r="L15" s="4" t="n">
        <v>284.72</v>
      </c>
    </row>
    <row r="16">
      <c r="A16" s="3" t="n">
        <v>9</v>
      </c>
      <c r="B16" s="3" t="inlineStr">
        <is>
          <t>1.1.02    IPI</t>
        </is>
      </c>
      <c r="C16" s="4" t="n">
        <v>492987.5</v>
      </c>
      <c r="D16" s="4" t="n">
        <v>1140013.26</v>
      </c>
      <c r="E16" s="4" t="n">
        <v>200146.82</v>
      </c>
      <c r="F16" s="4" t="n">
        <v>322835.2</v>
      </c>
      <c r="G16" s="4" t="n">
        <v>290132.05</v>
      </c>
      <c r="H16" s="4" t="n">
        <v>492.99</v>
      </c>
      <c r="I16" s="4" t="n">
        <v>1140.01</v>
      </c>
      <c r="J16" s="4" t="n">
        <v>200.15</v>
      </c>
      <c r="K16" s="4" t="n">
        <v>322.84</v>
      </c>
      <c r="L16" s="4" t="n">
        <v>290.13</v>
      </c>
    </row>
    <row r="17">
      <c r="A17" s="3" t="n">
        <v>10</v>
      </c>
      <c r="B17" s="3" t="inlineStr">
        <is>
          <t>1.1.02.1    IPI - Fumo</t>
        </is>
      </c>
      <c r="C17" s="4" t="n">
        <v>65940.02</v>
      </c>
      <c r="D17" s="4" t="n">
        <v>117125.92</v>
      </c>
      <c r="E17" s="4" t="n">
        <v>20518.89</v>
      </c>
      <c r="F17" s="4" t="n">
        <v>32037.8</v>
      </c>
      <c r="G17" s="4" t="n">
        <v>30251.77</v>
      </c>
      <c r="H17" s="4" t="n">
        <v>65.94</v>
      </c>
      <c r="I17" s="4" t="n">
        <v>117.13</v>
      </c>
      <c r="J17" s="4" t="n">
        <v>20.52</v>
      </c>
      <c r="K17" s="4" t="n">
        <v>32.04</v>
      </c>
      <c r="L17" s="4" t="n">
        <v>30.25</v>
      </c>
    </row>
    <row r="18">
      <c r="A18" s="3" t="n">
        <v>11</v>
      </c>
      <c r="B18" s="3" t="inlineStr">
        <is>
          <t>1.1.02.2    IPI - Bebidas</t>
        </is>
      </c>
      <c r="C18" s="4" t="n">
        <v>25048.57</v>
      </c>
      <c r="D18" s="4" t="n">
        <v>88133</v>
      </c>
      <c r="E18" s="4" t="n">
        <v>11547.28</v>
      </c>
      <c r="F18" s="4" t="n">
        <v>16132.35</v>
      </c>
      <c r="G18" s="4" t="n">
        <v>12449.83</v>
      </c>
      <c r="H18" s="4" t="n">
        <v>25.05</v>
      </c>
      <c r="I18" s="4" t="n">
        <v>88.13</v>
      </c>
      <c r="J18" s="4" t="n">
        <v>11.55</v>
      </c>
      <c r="K18" s="4" t="n">
        <v>16.13</v>
      </c>
      <c r="L18" s="4" t="n">
        <v>12.45</v>
      </c>
    </row>
    <row r="19">
      <c r="A19" s="3" t="n">
        <v>12</v>
      </c>
      <c r="B19" s="3" t="inlineStr">
        <is>
          <t>1.1.02.3    IPI - Automóveis</t>
        </is>
      </c>
      <c r="C19" s="4" t="n">
        <v>33107.07</v>
      </c>
      <c r="D19" s="4" t="n">
        <v>146474.32</v>
      </c>
      <c r="E19" s="4" t="n">
        <v>18481.9</v>
      </c>
      <c r="F19" s="4" t="n">
        <v>22542.08</v>
      </c>
      <c r="G19" s="4" t="n">
        <v>27230.4</v>
      </c>
      <c r="H19" s="4" t="n">
        <v>33.11</v>
      </c>
      <c r="I19" s="4" t="n">
        <v>146.47</v>
      </c>
      <c r="J19" s="4" t="n">
        <v>18.48</v>
      </c>
      <c r="K19" s="4" t="n">
        <v>22.54</v>
      </c>
      <c r="L19" s="4" t="n">
        <v>27.23</v>
      </c>
    </row>
    <row r="20">
      <c r="A20" s="3" t="n">
        <v>13</v>
      </c>
      <c r="B20" s="3" t="inlineStr">
        <is>
          <t>1.1.02.4    IPI - Vinculado à importação</t>
        </is>
      </c>
      <c r="C20" s="4" t="n">
        <v>63000.69</v>
      </c>
      <c r="D20" s="4" t="n">
        <v>331222.18</v>
      </c>
      <c r="E20" s="4" t="n">
        <v>61904.79</v>
      </c>
      <c r="F20" s="4" t="n">
        <v>130058.96</v>
      </c>
      <c r="G20" s="4" t="n">
        <v>106578.87</v>
      </c>
      <c r="H20" s="4" t="n">
        <v>63</v>
      </c>
      <c r="I20" s="4" t="n">
        <v>331.22</v>
      </c>
      <c r="J20" s="4" t="n">
        <v>61.9</v>
      </c>
      <c r="K20" s="4" t="n">
        <v>130.06</v>
      </c>
      <c r="L20" s="4" t="n">
        <v>106.58</v>
      </c>
    </row>
    <row r="21">
      <c r="A21" s="3" t="n">
        <v>14</v>
      </c>
      <c r="B21" s="3" t="inlineStr">
        <is>
          <t>1.1.02.5    IPI - Outros</t>
        </is>
      </c>
      <c r="C21" s="4" t="n">
        <v>305891.15</v>
      </c>
      <c r="D21" s="4" t="n">
        <v>457057.84</v>
      </c>
      <c r="E21" s="4" t="n">
        <v>87693.96000000001</v>
      </c>
      <c r="F21" s="4" t="n">
        <v>122064</v>
      </c>
      <c r="G21" s="4" t="n">
        <v>113621.18</v>
      </c>
      <c r="H21" s="4" t="n">
        <v>305.89</v>
      </c>
      <c r="I21" s="4" t="n">
        <v>457.06</v>
      </c>
      <c r="J21" s="4" t="n">
        <v>87.69</v>
      </c>
      <c r="K21" s="4" t="n">
        <v>122.06</v>
      </c>
      <c r="L21" s="4" t="n">
        <v>113.62</v>
      </c>
    </row>
    <row r="22">
      <c r="A22" s="3" t="n">
        <v>15</v>
      </c>
      <c r="B22" s="3" t="inlineStr">
        <is>
          <t>1.1.03    Imposto sobre a Renda</t>
        </is>
      </c>
      <c r="C22" s="4" t="n">
        <v>1467340.72</v>
      </c>
      <c r="D22" s="4" t="n">
        <v>6140684.12</v>
      </c>
      <c r="E22" s="4" t="n">
        <v>1404836.16</v>
      </c>
      <c r="F22" s="4" t="n">
        <v>2610837.45</v>
      </c>
      <c r="G22" s="4" t="n">
        <v>2995460.58</v>
      </c>
      <c r="H22" s="4" t="n">
        <v>1467.34</v>
      </c>
      <c r="I22" s="4" t="n">
        <v>6140.68</v>
      </c>
      <c r="J22" s="4" t="n">
        <v>1404.84</v>
      </c>
      <c r="K22" s="4" t="n">
        <v>2610.84</v>
      </c>
      <c r="L22" s="4" t="n">
        <v>2995.46</v>
      </c>
    </row>
    <row r="23">
      <c r="A23" s="3" t="n">
        <v>16</v>
      </c>
      <c r="B23" s="3" t="inlineStr">
        <is>
          <t>1.1.03.1  I.R. - Pessoa Física</t>
        </is>
      </c>
      <c r="C23" s="4" t="n">
        <v>97040.73</v>
      </c>
      <c r="D23" s="4" t="n">
        <v>531142.98</v>
      </c>
      <c r="E23" s="4" t="n">
        <v>130589.58</v>
      </c>
      <c r="F23" s="4" t="n">
        <v>260751.22</v>
      </c>
      <c r="G23" s="4" t="n">
        <v>270622.12</v>
      </c>
      <c r="H23" s="4" t="n">
        <v>97.04000000000001</v>
      </c>
      <c r="I23" s="4" t="n">
        <v>531.14</v>
      </c>
      <c r="J23" s="4" t="n">
        <v>130.59</v>
      </c>
      <c r="K23" s="4" t="n">
        <v>260.75</v>
      </c>
      <c r="L23" s="4" t="n">
        <v>270.62</v>
      </c>
    </row>
    <row r="24">
      <c r="A24" s="3" t="n">
        <v>17</v>
      </c>
      <c r="B24" s="3" t="inlineStr">
        <is>
          <t>1.1.03.2  I.R. - Pessoa Jurídica</t>
        </is>
      </c>
      <c r="C24" s="4" t="n">
        <v>483016.92</v>
      </c>
      <c r="D24" s="4" t="n">
        <v>2558373.1</v>
      </c>
      <c r="E24" s="4" t="n">
        <v>503564.4</v>
      </c>
      <c r="F24" s="4" t="n">
        <v>1000049.71</v>
      </c>
      <c r="G24" s="4" t="n">
        <v>1085481.96</v>
      </c>
      <c r="H24" s="4" t="n">
        <v>483.02</v>
      </c>
      <c r="I24" s="4" t="n">
        <v>2558.37</v>
      </c>
      <c r="J24" s="4" t="n">
        <v>503.56</v>
      </c>
      <c r="K24" s="4" t="n">
        <v>1000.05</v>
      </c>
      <c r="L24" s="4" t="n">
        <v>1085.48</v>
      </c>
    </row>
    <row r="25">
      <c r="A25" s="3" t="n">
        <v>18</v>
      </c>
      <c r="B25" s="3" t="inlineStr">
        <is>
          <t>1.1.03.3  I.R. - Retido na fonte</t>
        </is>
      </c>
      <c r="C25" s="4" t="n">
        <v>887283.0699999999</v>
      </c>
      <c r="D25" s="4" t="n">
        <v>3051168.04</v>
      </c>
      <c r="E25" s="4" t="n">
        <v>770682.1800000001</v>
      </c>
      <c r="F25" s="4" t="n">
        <v>1350036.51</v>
      </c>
      <c r="G25" s="4" t="n">
        <v>1639356.5</v>
      </c>
      <c r="H25" s="4" t="n">
        <v>887.28</v>
      </c>
      <c r="I25" s="4" t="n">
        <v>3051.17</v>
      </c>
      <c r="J25" s="4" t="n">
        <v>770.6799999999999</v>
      </c>
      <c r="K25" s="4" t="n">
        <v>1350.04</v>
      </c>
      <c r="L25" s="4" t="n">
        <v>1639.36</v>
      </c>
    </row>
    <row r="26">
      <c r="A26" s="3" t="n">
        <v>19</v>
      </c>
      <c r="B26" s="3" t="inlineStr">
        <is>
          <t>1.1.03.3.1    IRRF - Rendimentos do Trabalho</t>
        </is>
      </c>
      <c r="C26" s="4" t="n">
        <v>378523.34</v>
      </c>
      <c r="D26" s="4" t="n">
        <v>1517283.99</v>
      </c>
      <c r="E26" s="4" t="n">
        <v>362545.12</v>
      </c>
      <c r="F26" s="4" t="n">
        <v>689672.96</v>
      </c>
      <c r="G26" s="4" t="n">
        <v>717166.87</v>
      </c>
      <c r="H26" s="4" t="n">
        <v>378.52</v>
      </c>
      <c r="I26" s="4" t="n">
        <v>1517.28</v>
      </c>
      <c r="J26" s="4" t="n">
        <v>362.55</v>
      </c>
      <c r="K26" s="4" t="n">
        <v>689.67</v>
      </c>
      <c r="L26" s="4" t="n">
        <v>717.17</v>
      </c>
    </row>
    <row r="27">
      <c r="A27" s="3" t="n">
        <v>20</v>
      </c>
      <c r="B27" s="3" t="inlineStr">
        <is>
          <t>1.1.03.3.2    IRRF - Rendimentos do Capital</t>
        </is>
      </c>
      <c r="C27" s="4" t="n">
        <v>339306.18</v>
      </c>
      <c r="D27" s="4" t="n">
        <v>935396.96</v>
      </c>
      <c r="E27" s="4" t="n">
        <v>240289.39</v>
      </c>
      <c r="F27" s="4" t="n">
        <v>340730.38</v>
      </c>
      <c r="G27" s="4" t="n">
        <v>537395.89</v>
      </c>
      <c r="H27" s="4" t="n">
        <v>339.31</v>
      </c>
      <c r="I27" s="4" t="n">
        <v>935.4</v>
      </c>
      <c r="J27" s="4" t="n">
        <v>240.29</v>
      </c>
      <c r="K27" s="4" t="n">
        <v>340.73</v>
      </c>
      <c r="L27" s="4" t="n">
        <v>537.4</v>
      </c>
    </row>
    <row r="28">
      <c r="A28" s="3" t="n">
        <v>21</v>
      </c>
      <c r="B28" s="3" t="inlineStr">
        <is>
          <t>1.1.03.3.3    IRRF - Rendimentos de Residentes no Exterior</t>
        </is>
      </c>
      <c r="C28" s="4" t="n">
        <v>92755.77</v>
      </c>
      <c r="D28" s="4" t="n">
        <v>386822.07</v>
      </c>
      <c r="E28" s="4" t="n">
        <v>120868.76</v>
      </c>
      <c r="F28" s="4" t="n">
        <v>238108.32</v>
      </c>
      <c r="G28" s="4" t="n">
        <v>299002.04</v>
      </c>
      <c r="H28" s="4" t="n">
        <v>92.76000000000001</v>
      </c>
      <c r="I28" s="4" t="n">
        <v>386.82</v>
      </c>
      <c r="J28" s="4" t="n">
        <v>120.87</v>
      </c>
      <c r="K28" s="4" t="n">
        <v>238.11</v>
      </c>
      <c r="L28" s="4" t="n">
        <v>299</v>
      </c>
    </row>
    <row r="29">
      <c r="A29" s="3" t="n">
        <v>22</v>
      </c>
      <c r="B29" s="3" t="inlineStr">
        <is>
          <t>1.1.03.3.4    IRRF - Outros Rendimentos</t>
        </is>
      </c>
      <c r="C29" s="4" t="n">
        <v>76697.78999999999</v>
      </c>
      <c r="D29" s="4" t="n">
        <v>211665.01</v>
      </c>
      <c r="E29" s="4" t="n">
        <v>46978.9</v>
      </c>
      <c r="F29" s="4" t="n">
        <v>81524.85000000001</v>
      </c>
      <c r="G29" s="4" t="n">
        <v>85791.7</v>
      </c>
      <c r="H29" s="4" t="n">
        <v>76.7</v>
      </c>
      <c r="I29" s="4" t="n">
        <v>211.67</v>
      </c>
      <c r="J29" s="4" t="n">
        <v>46.98</v>
      </c>
      <c r="K29" s="4" t="n">
        <v>81.52</v>
      </c>
      <c r="L29" s="4" t="n">
        <v>85.79000000000001</v>
      </c>
    </row>
    <row r="30">
      <c r="A30" s="3" t="n">
        <v>23</v>
      </c>
      <c r="B30" s="3" t="inlineStr">
        <is>
          <t>1.1.04    IOF</t>
        </is>
      </c>
      <c r="C30" s="4" t="n">
        <v>109899.37</v>
      </c>
      <c r="D30" s="4" t="n">
        <v>608825.24</v>
      </c>
      <c r="E30" s="4" t="n">
        <v>142786.34</v>
      </c>
      <c r="F30" s="4" t="n">
        <v>226407.08</v>
      </c>
      <c r="G30" s="4" t="n">
        <v>277670.95</v>
      </c>
      <c r="H30" s="4" t="n">
        <v>109.9</v>
      </c>
      <c r="I30" s="4" t="n">
        <v>608.83</v>
      </c>
      <c r="J30" s="4" t="n">
        <v>142.79</v>
      </c>
      <c r="K30" s="4" t="n">
        <v>226.41</v>
      </c>
      <c r="L30" s="4" t="n">
        <v>277.67</v>
      </c>
    </row>
    <row r="31">
      <c r="A31" s="3" t="n">
        <v>24</v>
      </c>
      <c r="B31" s="3" t="inlineStr">
        <is>
          <t>1.1.05    Cofins</t>
        </is>
      </c>
      <c r="C31" s="4" t="n">
        <v>957584.12</v>
      </c>
      <c r="D31" s="4" t="n">
        <v>4336561.93</v>
      </c>
      <c r="E31" s="4" t="n">
        <v>944509.61</v>
      </c>
      <c r="F31" s="4" t="n">
        <v>1355755.3</v>
      </c>
      <c r="G31" s="4" t="n">
        <v>1320052.45</v>
      </c>
      <c r="H31" s="4" t="n">
        <v>957.58</v>
      </c>
      <c r="I31" s="4" t="n">
        <v>4336.56</v>
      </c>
      <c r="J31" s="4" t="n">
        <v>944.51</v>
      </c>
      <c r="K31" s="4" t="n">
        <v>1355.76</v>
      </c>
      <c r="L31" s="4" t="n">
        <v>1320.05</v>
      </c>
    </row>
    <row r="32">
      <c r="A32" s="3" t="n">
        <v>25</v>
      </c>
      <c r="B32" s="3" t="inlineStr">
        <is>
          <t>1.1.06    PIS/Pasep</t>
        </is>
      </c>
      <c r="C32" s="4" t="n">
        <v>276890.57</v>
      </c>
      <c r="D32" s="4" t="n">
        <v>1145467.95</v>
      </c>
      <c r="E32" s="4" t="n">
        <v>248802.58</v>
      </c>
      <c r="F32" s="4" t="n">
        <v>379284.43</v>
      </c>
      <c r="G32" s="4" t="n">
        <v>367049.52</v>
      </c>
      <c r="H32" s="4" t="n">
        <v>276.89</v>
      </c>
      <c r="I32" s="4" t="n">
        <v>1145.47</v>
      </c>
      <c r="J32" s="4" t="n">
        <v>248.8</v>
      </c>
      <c r="K32" s="4" t="n">
        <v>379.28</v>
      </c>
      <c r="L32" s="4" t="n">
        <v>367.05</v>
      </c>
    </row>
    <row r="33">
      <c r="A33" s="3" t="n">
        <v>26</v>
      </c>
      <c r="B33" s="3" t="inlineStr">
        <is>
          <t>1.1.07    CSLL</t>
        </is>
      </c>
      <c r="C33" s="4" t="n">
        <v>256022.47</v>
      </c>
      <c r="D33" s="4" t="n">
        <v>1416325.36</v>
      </c>
      <c r="E33" s="4" t="n">
        <v>294006.95</v>
      </c>
      <c r="F33" s="4" t="n">
        <v>574706.49</v>
      </c>
      <c r="G33" s="4" t="n">
        <v>639708.71</v>
      </c>
      <c r="H33" s="4" t="n">
        <v>256.02</v>
      </c>
      <c r="I33" s="4" t="n">
        <v>1416.33</v>
      </c>
      <c r="J33" s="4" t="n">
        <v>294.01</v>
      </c>
      <c r="K33" s="4" t="n">
        <v>574.71</v>
      </c>
      <c r="L33" s="4" t="n">
        <v>639.71</v>
      </c>
    </row>
    <row r="34">
      <c r="A34" s="3" t="n">
        <v>27</v>
      </c>
      <c r="B34" s="3" t="inlineStr">
        <is>
          <t>1.1.08    CPMF</t>
        </is>
      </c>
      <c r="C34" s="4" t="n">
        <v>343951.04</v>
      </c>
      <c r="D34" s="4" t="n">
        <v>459358.1</v>
      </c>
      <c r="E34" s="4" t="n">
        <v>0</v>
      </c>
      <c r="F34" s="4" t="n">
        <v>0</v>
      </c>
      <c r="G34" s="4" t="n">
        <v>0</v>
      </c>
      <c r="H34" s="4" t="n">
        <v>343.95</v>
      </c>
      <c r="I34" s="4" t="n">
        <v>459.36</v>
      </c>
      <c r="J34" s="4" t="n">
        <v>0</v>
      </c>
      <c r="K34" s="4" t="n">
        <v>0</v>
      </c>
      <c r="L34" s="4" t="n">
        <v>0</v>
      </c>
    </row>
    <row r="35">
      <c r="A35" s="3" t="n">
        <v>28</v>
      </c>
      <c r="B35" s="3" t="inlineStr">
        <is>
          <t>1.1.09    CIDE - Combustíveis</t>
        </is>
      </c>
      <c r="C35" s="4" t="n">
        <v>29182.6</v>
      </c>
      <c r="D35" s="4" t="n">
        <v>207624.58</v>
      </c>
      <c r="E35" s="4" t="n">
        <v>20589.83</v>
      </c>
      <c r="F35" s="4" t="n">
        <v>11444.05</v>
      </c>
      <c r="G35" s="4" t="n">
        <v>9883.959999999999</v>
      </c>
      <c r="H35" s="4" t="n">
        <v>29.18</v>
      </c>
      <c r="I35" s="4" t="n">
        <v>207.62</v>
      </c>
      <c r="J35" s="4" t="n">
        <v>20.59</v>
      </c>
      <c r="K35" s="4" t="n">
        <v>11.44</v>
      </c>
      <c r="L35" s="4" t="n">
        <v>9.880000000000001</v>
      </c>
    </row>
    <row r="36">
      <c r="A36" s="3" t="n">
        <v>29</v>
      </c>
      <c r="B36" s="3" t="inlineStr">
        <is>
          <t>1.1.10  Outras Receitas Administradas pela RFB</t>
        </is>
      </c>
      <c r="C36" s="4" t="n">
        <v>58282.25</v>
      </c>
      <c r="D36" s="4" t="n">
        <v>399988.63</v>
      </c>
      <c r="E36" s="4" t="n">
        <v>68076.8</v>
      </c>
      <c r="F36" s="4" t="n">
        <v>138304.02</v>
      </c>
      <c r="G36" s="4" t="n">
        <v>161981.53</v>
      </c>
      <c r="H36" s="4" t="n">
        <v>58.28</v>
      </c>
      <c r="I36" s="4" t="n">
        <v>399.99</v>
      </c>
      <c r="J36" s="4" t="n">
        <v>68.08</v>
      </c>
      <c r="K36" s="4" t="n">
        <v>138.3</v>
      </c>
      <c r="L36" s="4" t="n">
        <v>161.98</v>
      </c>
    </row>
    <row r="37">
      <c r="A37" s="3" t="n">
        <v>30</v>
      </c>
      <c r="B37" s="3" t="inlineStr">
        <is>
          <t>1.2 -  Incentivos Fiscais</t>
        </is>
      </c>
      <c r="C37" s="4" t="n">
        <v>-18512.33</v>
      </c>
      <c r="D37" s="4" t="n">
        <v>-2188.51</v>
      </c>
      <c r="E37" s="4" t="n">
        <v>-2409.01</v>
      </c>
      <c r="F37" s="4" t="n">
        <v>-541.24</v>
      </c>
      <c r="G37" s="4" t="n">
        <v>-90.56999999999999</v>
      </c>
      <c r="H37" s="4" t="n">
        <v>-18.51</v>
      </c>
      <c r="I37" s="4" t="n">
        <v>-2.19</v>
      </c>
      <c r="J37" s="4" t="n">
        <v>-2.41</v>
      </c>
      <c r="K37" s="4" t="n">
        <v>-0.54</v>
      </c>
      <c r="L37" s="4" t="n">
        <v>-0.09</v>
      </c>
    </row>
    <row r="38">
      <c r="A38" s="3" t="n">
        <v>31</v>
      </c>
      <c r="B38" s="3" t="inlineStr">
        <is>
          <t>1.3 -  Arrecadação Líquida para o RGPS</t>
        </is>
      </c>
      <c r="C38" s="4" t="n">
        <v>1543617.32</v>
      </c>
      <c r="D38" s="4" t="n">
        <v>6420313.4</v>
      </c>
      <c r="E38" s="4" t="n">
        <v>1531905.52</v>
      </c>
      <c r="F38" s="4" t="n">
        <v>2423966.97</v>
      </c>
      <c r="G38" s="4" t="n">
        <v>2431431.54</v>
      </c>
      <c r="H38" s="4" t="n">
        <v>1543.62</v>
      </c>
      <c r="I38" s="4" t="n">
        <v>6420.31</v>
      </c>
      <c r="J38" s="4" t="n">
        <v>1531.91</v>
      </c>
      <c r="K38" s="4" t="n">
        <v>2423.97</v>
      </c>
      <c r="L38" s="4" t="n">
        <v>2431.43</v>
      </c>
    </row>
    <row r="39">
      <c r="A39" s="3" t="n">
        <v>32</v>
      </c>
      <c r="B39" s="3" t="inlineStr">
        <is>
          <t>1.3.1    Arrecadação Líquida para o RGPS - Urbana</t>
        </is>
      </c>
      <c r="C39" s="4" t="n">
        <v>540183.78</v>
      </c>
      <c r="D39" s="4" t="n">
        <v>6260925.42</v>
      </c>
      <c r="E39" s="4" t="n">
        <v>1494542.96</v>
      </c>
      <c r="F39" s="4" t="n">
        <v>2375088.79</v>
      </c>
      <c r="G39" s="4" t="n">
        <v>2393043.89</v>
      </c>
      <c r="H39" s="4" t="n">
        <v>540.1799999999999</v>
      </c>
      <c r="I39" s="4" t="n">
        <v>6260.93</v>
      </c>
      <c r="J39" s="4" t="n">
        <v>1494.54</v>
      </c>
      <c r="K39" s="4" t="n">
        <v>2375.09</v>
      </c>
      <c r="L39" s="4" t="n">
        <v>2393.04</v>
      </c>
    </row>
    <row r="40">
      <c r="A40" s="3" t="n">
        <v>33</v>
      </c>
      <c r="B40" s="3" t="inlineStr">
        <is>
          <t>1.3.2    Arrecadação Líquida para o RGPS - Rural</t>
        </is>
      </c>
      <c r="C40" s="4" t="n">
        <v>17329.53</v>
      </c>
      <c r="D40" s="4" t="n">
        <v>159388</v>
      </c>
      <c r="E40" s="4" t="n">
        <v>37362.56</v>
      </c>
      <c r="F40" s="4" t="n">
        <v>48878.18</v>
      </c>
      <c r="G40" s="4" t="n">
        <v>38387.65</v>
      </c>
      <c r="H40" s="4" t="n">
        <v>17.33</v>
      </c>
      <c r="I40" s="4" t="n">
        <v>159.39</v>
      </c>
      <c r="J40" s="4" t="n">
        <v>37.36</v>
      </c>
      <c r="K40" s="4" t="n">
        <v>48.88</v>
      </c>
      <c r="L40" s="4" t="n">
        <v>38.39</v>
      </c>
    </row>
    <row r="41">
      <c r="A41" s="3" t="n">
        <v>34</v>
      </c>
      <c r="B41" s="3" t="inlineStr">
        <is>
          <t>1.4 -  Receitas Não Administradas pela RFB</t>
        </is>
      </c>
      <c r="C41" s="4" t="n">
        <v>703495.1</v>
      </c>
      <c r="D41" s="4" t="n">
        <v>3172704.17</v>
      </c>
      <c r="E41" s="4" t="n">
        <v>690073.72</v>
      </c>
      <c r="F41" s="4" t="n">
        <v>1458455.47</v>
      </c>
      <c r="G41" s="4" t="n">
        <v>1233941.16</v>
      </c>
      <c r="H41" s="4" t="n">
        <v>703.5</v>
      </c>
      <c r="I41" s="4" t="n">
        <v>3172.7</v>
      </c>
      <c r="J41" s="4" t="n">
        <v>690.0700000000001</v>
      </c>
      <c r="K41" s="4" t="n">
        <v>1458.46</v>
      </c>
      <c r="L41" s="4" t="n">
        <v>1233.94</v>
      </c>
    </row>
    <row r="42">
      <c r="A42" s="3" t="n">
        <v>35</v>
      </c>
      <c r="B42" s="3" t="inlineStr">
        <is>
          <t>1.4.1  Concessões e Permissões</t>
        </is>
      </c>
      <c r="C42" s="4" t="n">
        <v>154471.04</v>
      </c>
      <c r="D42" s="4" t="n">
        <v>150679.94</v>
      </c>
      <c r="E42" s="4" t="n">
        <v>97091.67</v>
      </c>
      <c r="F42" s="4" t="n">
        <v>214483.12</v>
      </c>
      <c r="G42" s="4" t="n">
        <v>38350.07</v>
      </c>
      <c r="H42" s="4" t="n">
        <v>154.47</v>
      </c>
      <c r="I42" s="4" t="n">
        <v>150.68</v>
      </c>
      <c r="J42" s="4" t="n">
        <v>97.09</v>
      </c>
      <c r="K42" s="4" t="n">
        <v>214.48</v>
      </c>
      <c r="L42" s="4" t="n">
        <v>38.35</v>
      </c>
    </row>
    <row r="43">
      <c r="A43" s="3" t="n">
        <v>36</v>
      </c>
      <c r="B43" s="3" t="inlineStr">
        <is>
          <t>1.4.2  Dividendos e Participações</t>
        </is>
      </c>
      <c r="C43" s="4" t="n">
        <v>60089.14</v>
      </c>
      <c r="D43" s="4" t="n">
        <v>451828.21</v>
      </c>
      <c r="E43" s="4" t="n">
        <v>23721.14</v>
      </c>
      <c r="F43" s="4" t="n">
        <v>199534.97</v>
      </c>
      <c r="G43" s="4" t="n">
        <v>196425.33</v>
      </c>
      <c r="H43" s="4" t="n">
        <v>60.09</v>
      </c>
      <c r="I43" s="4" t="n">
        <v>451.83</v>
      </c>
      <c r="J43" s="4" t="n">
        <v>23.72</v>
      </c>
      <c r="K43" s="4" t="n">
        <v>199.53</v>
      </c>
      <c r="L43" s="4" t="n">
        <v>196.43</v>
      </c>
    </row>
    <row r="44">
      <c r="A44" s="3" t="n">
        <v>37</v>
      </c>
      <c r="B44" s="3" t="inlineStr">
        <is>
          <t>1.4.2.1  Banco do Brasil</t>
        </is>
      </c>
      <c r="C44" s="4" t="n">
        <v>2557.64</v>
      </c>
      <c r="D44" s="4" t="n">
        <v>66682.92999999999</v>
      </c>
      <c r="E44" s="4" t="n">
        <v>6889.51</v>
      </c>
      <c r="F44" s="4" t="n">
        <v>19817.81</v>
      </c>
      <c r="G44" s="4" t="n">
        <v>20110.65</v>
      </c>
      <c r="H44" s="4" t="n">
        <v>2.56</v>
      </c>
      <c r="I44" s="4" t="n">
        <v>66.68000000000001</v>
      </c>
      <c r="J44" s="4" t="n">
        <v>6.89</v>
      </c>
      <c r="K44" s="4" t="n">
        <v>19.82</v>
      </c>
      <c r="L44" s="4" t="n">
        <v>20.11</v>
      </c>
    </row>
    <row r="45">
      <c r="A45" s="3" t="n">
        <v>38</v>
      </c>
      <c r="B45" s="3" t="inlineStr">
        <is>
          <t>1.4.2.2  BNB</t>
        </is>
      </c>
      <c r="C45" s="4" t="n">
        <v>34.76</v>
      </c>
      <c r="D45" s="4" t="n">
        <v>4090.5</v>
      </c>
      <c r="E45" s="4" t="n">
        <v>323.75</v>
      </c>
      <c r="F45" s="4" t="n">
        <v>883.74</v>
      </c>
      <c r="G45" s="4" t="n">
        <v>1430.47</v>
      </c>
      <c r="H45" s="4" t="n">
        <v>0.03</v>
      </c>
      <c r="I45" s="4" t="n">
        <v>4.09</v>
      </c>
      <c r="J45" s="4" t="n">
        <v>0.32</v>
      </c>
      <c r="K45" s="4" t="n">
        <v>0.88</v>
      </c>
      <c r="L45" s="4" t="n">
        <v>1.43</v>
      </c>
    </row>
    <row r="46">
      <c r="A46" s="3" t="n">
        <v>39</v>
      </c>
      <c r="B46" s="3" t="inlineStr">
        <is>
          <t>1.4.2.3  BNDES</t>
        </is>
      </c>
      <c r="C46" s="4" t="n">
        <v>5934.13</v>
      </c>
      <c r="D46" s="4" t="n">
        <v>172656.56</v>
      </c>
      <c r="E46" s="4" t="n">
        <v>8049.17</v>
      </c>
      <c r="F46" s="4" t="n">
        <v>53666.15</v>
      </c>
      <c r="G46" s="4" t="n">
        <v>67429.33</v>
      </c>
      <c r="H46" s="4" t="n">
        <v>5.93</v>
      </c>
      <c r="I46" s="4" t="n">
        <v>172.66</v>
      </c>
      <c r="J46" s="4" t="n">
        <v>8.050000000000001</v>
      </c>
      <c r="K46" s="4" t="n">
        <v>53.67</v>
      </c>
      <c r="L46" s="4" t="n">
        <v>67.43000000000001</v>
      </c>
    </row>
    <row r="47">
      <c r="A47" s="3" t="n">
        <v>40</v>
      </c>
      <c r="B47" s="3" t="inlineStr">
        <is>
          <t>1.4.2.4  Caixa Econômica Federal</t>
        </is>
      </c>
      <c r="C47" s="4" t="n">
        <v>502.5</v>
      </c>
      <c r="D47" s="4" t="n">
        <v>82589.78999999999</v>
      </c>
      <c r="E47" s="4" t="n">
        <v>5504.83</v>
      </c>
      <c r="F47" s="4" t="n">
        <v>16604.98</v>
      </c>
      <c r="G47" s="4" t="n">
        <v>10135.12</v>
      </c>
      <c r="H47" s="4" t="n">
        <v>0.5</v>
      </c>
      <c r="I47" s="4" t="n">
        <v>82.59</v>
      </c>
      <c r="J47" s="4" t="n">
        <v>5.5</v>
      </c>
      <c r="K47" s="4" t="n">
        <v>16.6</v>
      </c>
      <c r="L47" s="4" t="n">
        <v>10.14</v>
      </c>
    </row>
    <row r="48">
      <c r="A48" s="3" t="n">
        <v>41</v>
      </c>
      <c r="B48" s="3" t="inlineStr">
        <is>
          <t>1.4.2.5  Empresa Brasileira de Correios e Telégrafos (Correios)</t>
        </is>
      </c>
      <c r="C48" s="4" t="n">
        <v>832.61</v>
      </c>
      <c r="D48" s="4" t="n">
        <v>11378.91</v>
      </c>
      <c r="E48" s="4" t="n">
        <v>0</v>
      </c>
      <c r="F48" s="4" t="n">
        <v>310.04</v>
      </c>
      <c r="G48" s="4" t="n">
        <v>0</v>
      </c>
      <c r="H48" s="4" t="n">
        <v>0.83</v>
      </c>
      <c r="I48" s="4" t="n">
        <v>11.38</v>
      </c>
      <c r="J48" s="4" t="n">
        <v>0</v>
      </c>
      <c r="K48" s="4" t="n">
        <v>0.31</v>
      </c>
      <c r="L48" s="4" t="n">
        <v>0</v>
      </c>
    </row>
    <row r="49">
      <c r="A49" s="3" t="n">
        <v>42</v>
      </c>
      <c r="B49" s="3" t="inlineStr">
        <is>
          <t>1.4.2.6  Eletrobrás</t>
        </is>
      </c>
      <c r="C49" s="4" t="n">
        <v>6492.72</v>
      </c>
      <c r="D49" s="4" t="n">
        <v>19337.41</v>
      </c>
      <c r="E49" s="4" t="n">
        <v>0</v>
      </c>
      <c r="F49" s="4" t="n">
        <v>4925.04</v>
      </c>
      <c r="G49" s="4" t="n">
        <v>4370.93</v>
      </c>
      <c r="H49" s="4" t="n">
        <v>6.49</v>
      </c>
      <c r="I49" s="4" t="n">
        <v>19.34</v>
      </c>
      <c r="J49" s="4" t="n">
        <v>0</v>
      </c>
      <c r="K49" s="4" t="n">
        <v>4.93</v>
      </c>
      <c r="L49" s="4" t="n">
        <v>4.37</v>
      </c>
    </row>
    <row r="50">
      <c r="A50" s="3" t="n">
        <v>43</v>
      </c>
      <c r="B50" s="3" t="inlineStr">
        <is>
          <t>1.4.2.7  IRB</t>
        </is>
      </c>
      <c r="C50" s="4" t="n">
        <v>298.35</v>
      </c>
      <c r="D50" s="4" t="n">
        <v>3700.55</v>
      </c>
      <c r="E50" s="4" t="n">
        <v>280.47</v>
      </c>
      <c r="F50" s="4" t="n">
        <v>125.37</v>
      </c>
      <c r="G50" s="4" t="n">
        <v>0</v>
      </c>
      <c r="H50" s="4" t="n">
        <v>0.3</v>
      </c>
      <c r="I50" s="4" t="n">
        <v>3.7</v>
      </c>
      <c r="J50" s="4" t="n">
        <v>0.28</v>
      </c>
      <c r="K50" s="4" t="n">
        <v>0.13</v>
      </c>
      <c r="L50" s="4" t="n">
        <v>0</v>
      </c>
    </row>
    <row r="51">
      <c r="A51" s="3" t="n">
        <v>44</v>
      </c>
      <c r="B51" s="3" t="inlineStr">
        <is>
          <t>1.4.2.8  Petrobras</t>
        </is>
      </c>
      <c r="C51" s="4" t="n">
        <v>11677.19</v>
      </c>
      <c r="D51" s="4" t="n">
        <v>74677.8</v>
      </c>
      <c r="E51" s="4" t="n">
        <v>1129.69</v>
      </c>
      <c r="F51" s="4" t="n">
        <v>98407.64999999999</v>
      </c>
      <c r="G51" s="4" t="n">
        <v>84842.21000000001</v>
      </c>
      <c r="H51" s="4" t="n">
        <v>11.68</v>
      </c>
      <c r="I51" s="4" t="n">
        <v>74.68000000000001</v>
      </c>
      <c r="J51" s="4" t="n">
        <v>1.13</v>
      </c>
      <c r="K51" s="4" t="n">
        <v>98.41</v>
      </c>
      <c r="L51" s="4" t="n">
        <v>84.84</v>
      </c>
    </row>
    <row r="52">
      <c r="A52" s="3" t="n">
        <v>45</v>
      </c>
      <c r="B52" s="3" t="inlineStr">
        <is>
          <t>1.4.2.9  Demais Dividendos e Participações</t>
        </is>
      </c>
      <c r="C52" s="4" t="n">
        <v>5949.62</v>
      </c>
      <c r="D52" s="4" t="n">
        <v>16713.76</v>
      </c>
      <c r="E52" s="4" t="n">
        <v>1543.7</v>
      </c>
      <c r="F52" s="4" t="n">
        <v>4794.19</v>
      </c>
      <c r="G52" s="4" t="n">
        <v>8106.61</v>
      </c>
      <c r="H52" s="4" t="n">
        <v>5.95</v>
      </c>
      <c r="I52" s="4" t="n">
        <v>16.71</v>
      </c>
      <c r="J52" s="4" t="n">
        <v>1.54</v>
      </c>
      <c r="K52" s="4" t="n">
        <v>4.79</v>
      </c>
      <c r="L52" s="4" t="n">
        <v>8.109999999999999</v>
      </c>
    </row>
    <row r="53">
      <c r="A53" s="3" t="n">
        <v>46</v>
      </c>
      <c r="B53" s="3" t="inlineStr">
        <is>
          <t>1.4.3  Contr. Plano de Seguridade Social do Servidor</t>
        </is>
      </c>
      <c r="C53" s="4" t="n">
        <v>44583.93</v>
      </c>
      <c r="D53" s="4" t="n">
        <v>230930.89</v>
      </c>
      <c r="E53" s="4" t="n">
        <v>55077.42</v>
      </c>
      <c r="F53" s="4" t="n">
        <v>89233.14999999999</v>
      </c>
      <c r="G53" s="4" t="n">
        <v>67868.10000000001</v>
      </c>
      <c r="H53" s="4" t="n">
        <v>44.58</v>
      </c>
      <c r="I53" s="4" t="n">
        <v>230.93</v>
      </c>
      <c r="J53" s="4" t="n">
        <v>55.08</v>
      </c>
      <c r="K53" s="4" t="n">
        <v>89.23</v>
      </c>
      <c r="L53" s="4" t="n">
        <v>67.87</v>
      </c>
    </row>
    <row r="54">
      <c r="A54" s="3" t="n">
        <v>47</v>
      </c>
      <c r="B54" s="3" t="inlineStr">
        <is>
          <t>1.4.4  Receitas de Exploração de Recursos Naturais</t>
        </is>
      </c>
      <c r="C54" s="4" t="n">
        <v>48659.7</v>
      </c>
      <c r="D54" s="4" t="n">
        <v>767566.96</v>
      </c>
      <c r="E54" s="4" t="n">
        <v>170361.15</v>
      </c>
      <c r="F54" s="4" t="n">
        <v>457612.92</v>
      </c>
      <c r="G54" s="4" t="n">
        <v>473163.67</v>
      </c>
      <c r="H54" s="4" t="n">
        <v>48.66</v>
      </c>
      <c r="I54" s="4" t="n">
        <v>767.5700000000001</v>
      </c>
      <c r="J54" s="4" t="n">
        <v>170.36</v>
      </c>
      <c r="K54" s="4" t="n">
        <v>457.61</v>
      </c>
      <c r="L54" s="4" t="n">
        <v>473.16</v>
      </c>
    </row>
    <row r="55">
      <c r="A55" s="3" t="n">
        <v>48</v>
      </c>
      <c r="B55" s="3" t="inlineStr">
        <is>
          <t>1.4.5  Receitas Próprias (fontes 50, 81 e 82)</t>
        </is>
      </c>
      <c r="C55" s="4" t="n">
        <v>119006.38</v>
      </c>
      <c r="D55" s="4" t="n">
        <v>341172.97</v>
      </c>
      <c r="E55" s="4" t="n">
        <v>58063.38</v>
      </c>
      <c r="F55" s="4" t="n">
        <v>89194.81</v>
      </c>
      <c r="G55" s="4" t="n">
        <v>83705.62</v>
      </c>
      <c r="H55" s="4" t="n">
        <v>119.01</v>
      </c>
      <c r="I55" s="4" t="n">
        <v>341.17</v>
      </c>
      <c r="J55" s="4" t="n">
        <v>58.06</v>
      </c>
      <c r="K55" s="4" t="n">
        <v>89.19</v>
      </c>
      <c r="L55" s="4" t="n">
        <v>83.70999999999999</v>
      </c>
    </row>
    <row r="56">
      <c r="A56" s="3" t="n">
        <v>49</v>
      </c>
      <c r="B56" s="3" t="inlineStr">
        <is>
          <t>1.4.6  Contribuição do Salário Educação</t>
        </is>
      </c>
      <c r="C56" s="4" t="n">
        <v>80741.45</v>
      </c>
      <c r="D56" s="4" t="n">
        <v>344857.49</v>
      </c>
      <c r="E56" s="4" t="n">
        <v>82449.37</v>
      </c>
      <c r="F56" s="4" t="n">
        <v>126615.12</v>
      </c>
      <c r="G56" s="4" t="n">
        <v>124767.71</v>
      </c>
      <c r="H56" s="4" t="n">
        <v>80.73999999999999</v>
      </c>
      <c r="I56" s="4" t="n">
        <v>344.86</v>
      </c>
      <c r="J56" s="4" t="n">
        <v>82.45</v>
      </c>
      <c r="K56" s="4" t="n">
        <v>126.62</v>
      </c>
      <c r="L56" s="4" t="n">
        <v>124.77</v>
      </c>
    </row>
    <row r="57">
      <c r="A57" s="3" t="n">
        <v>50</v>
      </c>
      <c r="B57" s="3" t="inlineStr">
        <is>
          <t>1.4.7  Complemento para o FGTS (LC nº 110/01)</t>
        </is>
      </c>
      <c r="C57" s="4" t="n">
        <v>0</v>
      </c>
      <c r="D57" s="4" t="n">
        <v>32735.38</v>
      </c>
      <c r="E57" s="4" t="n">
        <v>21291.72</v>
      </c>
      <c r="F57" s="4" t="n">
        <v>7960.44</v>
      </c>
      <c r="G57" s="4" t="n">
        <v>521.22</v>
      </c>
      <c r="H57" s="4" t="n">
        <v>0</v>
      </c>
      <c r="I57" s="4" t="n">
        <v>32.74</v>
      </c>
      <c r="J57" s="4" t="n">
        <v>21.29</v>
      </c>
      <c r="K57" s="4" t="n">
        <v>7.96</v>
      </c>
      <c r="L57" s="4" t="n">
        <v>0.52</v>
      </c>
    </row>
    <row r="58">
      <c r="A58" s="3" t="n">
        <v>51</v>
      </c>
      <c r="B58" s="3" t="inlineStr">
        <is>
          <t>1.4.8  Demais Receitas Não Administradas pela RFB</t>
        </is>
      </c>
      <c r="C58" s="4" t="n">
        <v>195943.47</v>
      </c>
      <c r="D58" s="4" t="n">
        <v>852932.34</v>
      </c>
      <c r="E58" s="4" t="n">
        <v>182017.88</v>
      </c>
      <c r="F58" s="4" t="n">
        <v>273820.94</v>
      </c>
      <c r="G58" s="4" t="n">
        <v>249139.44</v>
      </c>
      <c r="H58" s="4" t="n">
        <v>195.94</v>
      </c>
      <c r="I58" s="4" t="n">
        <v>852.9299999999999</v>
      </c>
      <c r="J58" s="4" t="n">
        <v>182.02</v>
      </c>
      <c r="K58" s="4" t="n">
        <v>273.82</v>
      </c>
      <c r="L58" s="4" t="n">
        <v>249.14</v>
      </c>
    </row>
    <row r="59">
      <c r="A59" s="3" t="n">
        <v>52</v>
      </c>
      <c r="B59" s="3" t="inlineStr">
        <is>
          <t>1.4.8.1 d/q Receitas de Operações com Ativos</t>
        </is>
      </c>
      <c r="C59" s="4" t="n">
        <v>0</v>
      </c>
      <c r="D59" s="4" t="n">
        <v>210912.38</v>
      </c>
      <c r="E59" s="4" t="n">
        <v>10565.27</v>
      </c>
      <c r="F59" s="4" t="n">
        <v>3649.39</v>
      </c>
      <c r="G59" s="4" t="n">
        <v>0</v>
      </c>
      <c r="H59" s="4" t="n">
        <v>0</v>
      </c>
      <c r="I59" s="4" t="n">
        <v>210.91</v>
      </c>
      <c r="J59" s="4" t="n">
        <v>10.57</v>
      </c>
      <c r="K59" s="4" t="n">
        <v>3.65</v>
      </c>
      <c r="L59" s="4" t="n">
        <v>0</v>
      </c>
    </row>
    <row r="60">
      <c r="A60" s="3" t="n">
        <v>53</v>
      </c>
      <c r="B60" s="3" t="inlineStr">
        <is>
          <t>2. TRANSF. POR REPARTIÇÃO DE RECEITA 2/</t>
        </is>
      </c>
      <c r="C60" s="4" t="n">
        <v>995773.61</v>
      </c>
      <c r="D60" s="4" t="n">
        <v>4212795.37</v>
      </c>
      <c r="E60" s="4" t="n">
        <v>972637.65</v>
      </c>
      <c r="F60" s="4" t="n">
        <v>1807652.96</v>
      </c>
      <c r="G60" s="4" t="n">
        <v>1938697.69</v>
      </c>
      <c r="H60" s="4" t="n">
        <v>995.77</v>
      </c>
      <c r="I60" s="4" t="n">
        <v>4212.8</v>
      </c>
      <c r="J60" s="4" t="n">
        <v>972.64</v>
      </c>
      <c r="K60" s="4" t="n">
        <v>1807.65</v>
      </c>
      <c r="L60" s="4" t="n">
        <v>1938.7</v>
      </c>
    </row>
    <row r="61">
      <c r="A61" s="3" t="n">
        <v>54</v>
      </c>
      <c r="B61" s="3" t="inlineStr">
        <is>
          <t>2.1  FPM / FPE / IPI-EE</t>
        </is>
      </c>
      <c r="C61" s="4" t="n">
        <v>869577.89</v>
      </c>
      <c r="D61" s="4" t="n">
        <v>3362719.84</v>
      </c>
      <c r="E61" s="4" t="n">
        <v>775833.1</v>
      </c>
      <c r="F61" s="4" t="n">
        <v>1373389.13</v>
      </c>
      <c r="G61" s="4" t="n">
        <v>1536033.78</v>
      </c>
      <c r="H61" s="4" t="n">
        <v>869.58</v>
      </c>
      <c r="I61" s="4" t="n">
        <v>3362.72</v>
      </c>
      <c r="J61" s="4" t="n">
        <v>775.83</v>
      </c>
      <c r="K61" s="4" t="n">
        <v>1373.39</v>
      </c>
      <c r="L61" s="4" t="n">
        <v>1536.03</v>
      </c>
    </row>
    <row r="62">
      <c r="A62" s="3" t="n">
        <v>55</v>
      </c>
      <c r="B62" s="3" t="inlineStr">
        <is>
          <t>2.2  Fundos Constitucionais</t>
        </is>
      </c>
      <c r="C62" s="4" t="n">
        <v>22301.46</v>
      </c>
      <c r="D62" s="4" t="n">
        <v>99713.33</v>
      </c>
      <c r="E62" s="4" t="n">
        <v>32358.51</v>
      </c>
      <c r="F62" s="4" t="n">
        <v>45985.59</v>
      </c>
      <c r="G62" s="4" t="n">
        <v>56284.65</v>
      </c>
      <c r="H62" s="4" t="n">
        <v>22.3</v>
      </c>
      <c r="I62" s="4" t="n">
        <v>99.70999999999999</v>
      </c>
      <c r="J62" s="4" t="n">
        <v>32.36</v>
      </c>
      <c r="K62" s="4" t="n">
        <v>45.99</v>
      </c>
      <c r="L62" s="4" t="n">
        <v>56.28</v>
      </c>
    </row>
    <row r="63">
      <c r="A63" s="3" t="n">
        <v>56</v>
      </c>
      <c r="B63" s="3" t="inlineStr">
        <is>
          <t>2.2.1  Repasse Total</t>
        </is>
      </c>
      <c r="C63" s="4" t="n">
        <v>39396.52</v>
      </c>
      <c r="D63" s="4" t="n">
        <v>217753.79</v>
      </c>
      <c r="E63" s="4" t="n">
        <v>49076.14</v>
      </c>
      <c r="F63" s="4" t="n">
        <v>87536.89</v>
      </c>
      <c r="G63" s="4" t="n">
        <v>97880.99000000001</v>
      </c>
      <c r="H63" s="4" t="n">
        <v>39.4</v>
      </c>
      <c r="I63" s="4" t="n">
        <v>217.75</v>
      </c>
      <c r="J63" s="4" t="n">
        <v>49.08</v>
      </c>
      <c r="K63" s="4" t="n">
        <v>87.54000000000001</v>
      </c>
      <c r="L63" s="4" t="n">
        <v>97.88</v>
      </c>
    </row>
    <row r="64">
      <c r="A64" s="3" t="n">
        <v>57</v>
      </c>
      <c r="B64" s="3" t="inlineStr">
        <is>
          <t>2.2.2  Superávit dos Fundos</t>
        </is>
      </c>
      <c r="C64" s="4" t="n">
        <v>-26621.79</v>
      </c>
      <c r="D64" s="4" t="n">
        <v>-118040.46</v>
      </c>
      <c r="E64" s="4" t="n">
        <v>-16717.63</v>
      </c>
      <c r="F64" s="4" t="n">
        <v>-41551.3</v>
      </c>
      <c r="G64" s="4" t="n">
        <v>-41596.34</v>
      </c>
      <c r="H64" s="4" t="n">
        <v>-26.62</v>
      </c>
      <c r="I64" s="4" t="n">
        <v>-118.04</v>
      </c>
      <c r="J64" s="4" t="n">
        <v>-16.72</v>
      </c>
      <c r="K64" s="4" t="n">
        <v>-41.55</v>
      </c>
      <c r="L64" s="4" t="n">
        <v>-41.6</v>
      </c>
    </row>
    <row r="65">
      <c r="A65" s="3" t="n">
        <v>58</v>
      </c>
      <c r="B65" s="3" t="inlineStr">
        <is>
          <t>2.3  Transferência de Contribuição do Salário Educação</t>
        </is>
      </c>
      <c r="C65" s="4" t="n">
        <v>47496.16</v>
      </c>
      <c r="D65" s="4" t="n">
        <v>206537.16</v>
      </c>
      <c r="E65" s="4" t="n">
        <v>48671.83</v>
      </c>
      <c r="F65" s="4" t="n">
        <v>73807.03999999999</v>
      </c>
      <c r="G65" s="4" t="n">
        <v>75419.25</v>
      </c>
      <c r="H65" s="4" t="n">
        <v>47.5</v>
      </c>
      <c r="I65" s="4" t="n">
        <v>206.54</v>
      </c>
      <c r="J65" s="4" t="n">
        <v>48.67</v>
      </c>
      <c r="K65" s="4" t="n">
        <v>73.81</v>
      </c>
      <c r="L65" s="4" t="n">
        <v>75.42</v>
      </c>
    </row>
    <row r="66">
      <c r="A66" s="3" t="n">
        <v>59</v>
      </c>
      <c r="B66" s="3" t="inlineStr">
        <is>
          <t>2.4  Transferências de Exploração de Recursos Naturais</t>
        </is>
      </c>
      <c r="C66" s="4" t="n">
        <v>36204.27</v>
      </c>
      <c r="D66" s="4" t="n">
        <v>482918.68</v>
      </c>
      <c r="E66" s="4" t="n">
        <v>103841.98</v>
      </c>
      <c r="F66" s="4" t="n">
        <v>274545.75</v>
      </c>
      <c r="G66" s="4" t="n">
        <v>256638.52</v>
      </c>
      <c r="H66" s="4" t="n">
        <v>36.2</v>
      </c>
      <c r="I66" s="4" t="n">
        <v>482.92</v>
      </c>
      <c r="J66" s="4" t="n">
        <v>103.84</v>
      </c>
      <c r="K66" s="4" t="n">
        <v>274.55</v>
      </c>
      <c r="L66" s="4" t="n">
        <v>256.64</v>
      </c>
    </row>
    <row r="67">
      <c r="A67" s="3" t="n">
        <v>60</v>
      </c>
      <c r="B67" s="3" t="inlineStr">
        <is>
          <t>2.5  Transferência da CIDE - Combustíveis</t>
        </is>
      </c>
      <c r="C67" s="4" t="n">
        <v>0</v>
      </c>
      <c r="D67" s="4" t="n">
        <v>40592.33</v>
      </c>
      <c r="E67" s="4" t="n">
        <v>5573.97</v>
      </c>
      <c r="F67" s="4" t="n">
        <v>3609.02</v>
      </c>
      <c r="G67" s="4" t="n">
        <v>2694.01</v>
      </c>
      <c r="H67" s="4" t="n">
        <v>0</v>
      </c>
      <c r="I67" s="4" t="n">
        <v>40.59</v>
      </c>
      <c r="J67" s="4" t="n">
        <v>5.57</v>
      </c>
      <c r="K67" s="4" t="n">
        <v>3.61</v>
      </c>
      <c r="L67" s="4" t="n">
        <v>2.69</v>
      </c>
    </row>
    <row r="68">
      <c r="A68" s="3" t="n">
        <v>61</v>
      </c>
      <c r="B68" s="3" t="inlineStr">
        <is>
          <t>2.6  Demais Transferências por Repartição de Receita</t>
        </is>
      </c>
      <c r="C68" s="4" t="n">
        <v>20193.83</v>
      </c>
      <c r="D68" s="4" t="n">
        <v>20314.02</v>
      </c>
      <c r="E68" s="4" t="n">
        <v>6358.26</v>
      </c>
      <c r="F68" s="4" t="n">
        <v>36316.43</v>
      </c>
      <c r="G68" s="4" t="n">
        <v>11627.49</v>
      </c>
      <c r="H68" s="4" t="n">
        <v>20.19</v>
      </c>
      <c r="I68" s="4" t="n">
        <v>20.31</v>
      </c>
      <c r="J68" s="4" t="n">
        <v>6.36</v>
      </c>
      <c r="K68" s="4" t="n">
        <v>36.32</v>
      </c>
      <c r="L68" s="4" t="n">
        <v>11.63</v>
      </c>
    </row>
    <row r="69">
      <c r="A69" s="3" t="n">
        <v>62</v>
      </c>
      <c r="B69" s="3" t="inlineStr">
        <is>
          <t>3. RECEITA LÍQUIDA  (1-2)</t>
        </is>
      </c>
      <c r="C69" s="4" t="n">
        <v>5437438.65</v>
      </c>
      <c r="D69" s="4" t="n">
        <v>21890365.47</v>
      </c>
      <c r="E69" s="4" t="n">
        <v>4712613.24</v>
      </c>
      <c r="F69" s="4" t="n">
        <v>7973881.96</v>
      </c>
      <c r="G69" s="4" t="n">
        <v>8073246.46</v>
      </c>
      <c r="H69" s="4" t="n">
        <v>5437.44</v>
      </c>
      <c r="I69" s="4" t="n">
        <v>21890.37</v>
      </c>
      <c r="J69" s="4" t="n">
        <v>4712.61</v>
      </c>
      <c r="K69" s="4" t="n">
        <v>7973.88</v>
      </c>
      <c r="L69" s="4" t="n">
        <v>8073.25</v>
      </c>
    </row>
    <row r="70">
      <c r="A70" s="3" t="n">
        <v>63</v>
      </c>
      <c r="B70" s="3" t="inlineStr">
        <is>
          <t>4. DESPESA TOTAL 2/</t>
        </is>
      </c>
      <c r="C70" s="4" t="n">
        <v>4960516.15</v>
      </c>
      <c r="D70" s="4" t="n">
        <v>20373479.58</v>
      </c>
      <c r="E70" s="4" t="n">
        <v>5305825.76</v>
      </c>
      <c r="F70" s="4" t="n">
        <v>9161633.289999999</v>
      </c>
      <c r="G70" s="4" t="n">
        <v>8484394.119999999</v>
      </c>
      <c r="H70" s="4" t="n">
        <v>4960.52</v>
      </c>
      <c r="I70" s="4" t="n">
        <v>20373.48</v>
      </c>
      <c r="J70" s="4" t="n">
        <v>5305.83</v>
      </c>
      <c r="K70" s="4" t="n">
        <v>9161.629999999999</v>
      </c>
      <c r="L70" s="4" t="n">
        <v>8484.389999999999</v>
      </c>
    </row>
    <row r="71">
      <c r="A71" s="3" t="n">
        <v>64</v>
      </c>
      <c r="B71" s="3" t="inlineStr">
        <is>
          <t xml:space="preserve">4.1  Benefícios Previdenciários </t>
        </is>
      </c>
      <c r="C71" s="4" t="n">
        <v>1812956.14</v>
      </c>
      <c r="D71" s="4" t="n">
        <v>7918522.49</v>
      </c>
      <c r="E71" s="4" t="n">
        <v>2277216.54</v>
      </c>
      <c r="F71" s="4" t="n">
        <v>3747626.92</v>
      </c>
      <c r="G71" s="4" t="n">
        <v>3630283.28</v>
      </c>
      <c r="H71" s="4" t="n">
        <v>1812.96</v>
      </c>
      <c r="I71" s="4" t="n">
        <v>7918.52</v>
      </c>
      <c r="J71" s="4" t="n">
        <v>2277.22</v>
      </c>
      <c r="K71" s="4" t="n">
        <v>3747.63</v>
      </c>
      <c r="L71" s="4" t="n">
        <v>3630.28</v>
      </c>
    </row>
    <row r="72">
      <c r="A72" s="3" t="n">
        <v>65</v>
      </c>
      <c r="B72" s="3" t="inlineStr">
        <is>
          <t>4.1.1 Benefícios Previdenciários - Urbano 3/</t>
        </is>
      </c>
      <c r="C72" s="4" t="n">
        <v>549038.9300000001</v>
      </c>
      <c r="D72" s="4" t="n">
        <v>6238669.94</v>
      </c>
      <c r="E72" s="4" t="n">
        <v>1788933.2</v>
      </c>
      <c r="F72" s="4" t="n">
        <v>2978892.81</v>
      </c>
      <c r="G72" s="4" t="n">
        <v>2863841.01</v>
      </c>
      <c r="H72" s="4" t="n">
        <v>549.04</v>
      </c>
      <c r="I72" s="4" t="n">
        <v>6238.67</v>
      </c>
      <c r="J72" s="4" t="n">
        <v>1788.93</v>
      </c>
      <c r="K72" s="4" t="n">
        <v>2978.89</v>
      </c>
      <c r="L72" s="4" t="n">
        <v>2863.84</v>
      </c>
    </row>
    <row r="73">
      <c r="A73" s="3" t="n">
        <v>66</v>
      </c>
      <c r="B73" s="3" t="inlineStr">
        <is>
          <t>4.1.1.1 Sent. Judiciais e Precatórios de Benefícios Previdenciários - Urbano</t>
        </is>
      </c>
      <c r="C73" s="4" t="n">
        <v>0</v>
      </c>
      <c r="D73" s="4" t="n">
        <v>93747.3</v>
      </c>
      <c r="E73" s="4" t="n">
        <v>45330.32</v>
      </c>
      <c r="F73" s="4" t="n">
        <v>96187.35000000001</v>
      </c>
      <c r="G73" s="4" t="n">
        <v>134676.94</v>
      </c>
      <c r="H73" s="4" t="n">
        <v>0</v>
      </c>
      <c r="I73" s="4" t="n">
        <v>93.75</v>
      </c>
      <c r="J73" s="4" t="n">
        <v>45.33</v>
      </c>
      <c r="K73" s="4" t="n">
        <v>96.19</v>
      </c>
      <c r="L73" s="4" t="n">
        <v>134.68</v>
      </c>
    </row>
    <row r="74">
      <c r="A74" s="3" t="n">
        <v>67</v>
      </c>
      <c r="B74" s="3" t="inlineStr">
        <is>
          <t>4.1.2 Benefícios Previdenciários - Rural 3/</t>
        </is>
      </c>
      <c r="C74" s="4" t="n">
        <v>131915.29</v>
      </c>
      <c r="D74" s="4" t="n">
        <v>1679852.55</v>
      </c>
      <c r="E74" s="4" t="n">
        <v>488283.31</v>
      </c>
      <c r="F74" s="4" t="n">
        <v>768734.11</v>
      </c>
      <c r="G74" s="4" t="n">
        <v>766442.27</v>
      </c>
      <c r="H74" s="4" t="n">
        <v>131.92</v>
      </c>
      <c r="I74" s="4" t="n">
        <v>1679.85</v>
      </c>
      <c r="J74" s="4" t="n">
        <v>488.28</v>
      </c>
      <c r="K74" s="4" t="n">
        <v>768.73</v>
      </c>
      <c r="L74" s="4" t="n">
        <v>766.4400000000001</v>
      </c>
    </row>
    <row r="75">
      <c r="A75" s="3" t="n">
        <v>68</v>
      </c>
      <c r="B75" s="3" t="inlineStr">
        <is>
          <t>4.1.2.1 Sent. Judiciais e Precatórios de Benefícios Previdenciários - Rural</t>
        </is>
      </c>
      <c r="C75" s="4" t="n">
        <v>0</v>
      </c>
      <c r="D75" s="4" t="n">
        <v>27352.6</v>
      </c>
      <c r="E75" s="4" t="n">
        <v>12647.36</v>
      </c>
      <c r="F75" s="4" t="n">
        <v>24768.5</v>
      </c>
      <c r="G75" s="4" t="n">
        <v>36713.53</v>
      </c>
      <c r="H75" s="4" t="n">
        <v>0</v>
      </c>
      <c r="I75" s="4" t="n">
        <v>27.35</v>
      </c>
      <c r="J75" s="4" t="n">
        <v>12.65</v>
      </c>
      <c r="K75" s="4" t="n">
        <v>24.77</v>
      </c>
      <c r="L75" s="4" t="n">
        <v>36.71</v>
      </c>
    </row>
    <row r="76">
      <c r="A76" s="3" t="n">
        <v>69</v>
      </c>
      <c r="B76" s="3" t="inlineStr">
        <is>
          <t>4.2  Pessoal e Encargos Sociais</t>
        </is>
      </c>
      <c r="C76" s="4" t="n">
        <v>1511664.67</v>
      </c>
      <c r="D76" s="4" t="n">
        <v>4915414.48</v>
      </c>
      <c r="E76" s="4" t="n">
        <v>1157658.02</v>
      </c>
      <c r="F76" s="4" t="n">
        <v>1751154.49</v>
      </c>
      <c r="G76" s="4" t="n">
        <v>1421119.87</v>
      </c>
      <c r="H76" s="4" t="n">
        <v>1511.66</v>
      </c>
      <c r="I76" s="4" t="n">
        <v>4915.41</v>
      </c>
      <c r="J76" s="4" t="n">
        <v>1157.66</v>
      </c>
      <c r="K76" s="4" t="n">
        <v>1751.15</v>
      </c>
      <c r="L76" s="4" t="n">
        <v>1421.12</v>
      </c>
    </row>
    <row r="77">
      <c r="A77" s="3" t="n">
        <v>70</v>
      </c>
      <c r="B77" s="3" t="inlineStr">
        <is>
          <t>4.2.1 Sent. Judiciais e Precatórios de Pessoal e Encargos</t>
        </is>
      </c>
      <c r="C77" s="4" t="n">
        <v>0</v>
      </c>
      <c r="D77" s="4" t="n">
        <v>107687.72</v>
      </c>
      <c r="E77" s="4" t="n">
        <v>32947.83</v>
      </c>
      <c r="F77" s="4" t="n">
        <v>45085.18</v>
      </c>
      <c r="G77" s="4" t="n">
        <v>48008.27</v>
      </c>
      <c r="H77" s="4" t="n">
        <v>0</v>
      </c>
      <c r="I77" s="4" t="n">
        <v>107.69</v>
      </c>
      <c r="J77" s="4" t="n">
        <v>32.95</v>
      </c>
      <c r="K77" s="4" t="n">
        <v>45.09</v>
      </c>
      <c r="L77" s="4" t="n">
        <v>48.01</v>
      </c>
    </row>
    <row r="78">
      <c r="A78" s="3" t="n">
        <v>71</v>
      </c>
      <c r="B78" s="3" t="inlineStr">
        <is>
          <t>4.3  Outras Despesas Obrigatórias</t>
        </is>
      </c>
      <c r="C78" s="4" t="n">
        <v>366716.12</v>
      </c>
      <c r="D78" s="4" t="n">
        <v>2840803.77</v>
      </c>
      <c r="E78" s="4" t="n">
        <v>813692.4300000001</v>
      </c>
      <c r="F78" s="4" t="n">
        <v>2077789.98</v>
      </c>
      <c r="G78" s="4" t="n">
        <v>1406045.97</v>
      </c>
      <c r="H78" s="4" t="n">
        <v>366.72</v>
      </c>
      <c r="I78" s="4" t="n">
        <v>2840.8</v>
      </c>
      <c r="J78" s="4" t="n">
        <v>813.6900000000001</v>
      </c>
      <c r="K78" s="4" t="n">
        <v>2077.79</v>
      </c>
      <c r="L78" s="4" t="n">
        <v>1406.05</v>
      </c>
    </row>
    <row r="79">
      <c r="A79" s="3" t="n">
        <v>72</v>
      </c>
      <c r="B79" s="3" t="inlineStr">
        <is>
          <t>4.3.01 Abono e Seguro Desemprego</t>
        </is>
      </c>
      <c r="C79" s="4" t="n">
        <v>146042.02</v>
      </c>
      <c r="D79" s="4" t="n">
        <v>872537.67</v>
      </c>
      <c r="E79" s="4" t="n">
        <v>216551.21</v>
      </c>
      <c r="F79" s="4" t="n">
        <v>304589.76</v>
      </c>
      <c r="G79" s="4" t="n">
        <v>305723.63</v>
      </c>
      <c r="H79" s="4" t="n">
        <v>146.04</v>
      </c>
      <c r="I79" s="4" t="n">
        <v>872.54</v>
      </c>
      <c r="J79" s="4" t="n">
        <v>216.55</v>
      </c>
      <c r="K79" s="4" t="n">
        <v>304.59</v>
      </c>
      <c r="L79" s="4" t="n">
        <v>305.72</v>
      </c>
    </row>
    <row r="80">
      <c r="A80" s="3" t="n">
        <v>73</v>
      </c>
      <c r="B80" s="3" t="inlineStr">
        <is>
          <t>4.3.01.1 Abono</t>
        </is>
      </c>
      <c r="C80" s="4" t="n">
        <v>0</v>
      </c>
      <c r="D80" s="4" t="n">
        <v>183662.16</v>
      </c>
      <c r="E80" s="4" t="n">
        <v>65635.46000000001</v>
      </c>
      <c r="F80" s="4" t="n">
        <v>96344.49000000001</v>
      </c>
      <c r="G80" s="4" t="n">
        <v>108804.62</v>
      </c>
      <c r="H80" s="4" t="n">
        <v>0</v>
      </c>
      <c r="I80" s="4" t="n">
        <v>183.66</v>
      </c>
      <c r="J80" s="4" t="n">
        <v>65.64</v>
      </c>
      <c r="K80" s="4" t="n">
        <v>96.34</v>
      </c>
      <c r="L80" s="4" t="n">
        <v>108.8</v>
      </c>
    </row>
    <row r="81">
      <c r="A81" s="3" t="n">
        <v>74</v>
      </c>
      <c r="B81" s="3" t="inlineStr">
        <is>
          <t>4.3.01.2 Seguro Desemprego</t>
        </is>
      </c>
      <c r="C81" s="4" t="n">
        <v>0</v>
      </c>
      <c r="D81" s="4" t="n">
        <v>443240.22</v>
      </c>
      <c r="E81" s="4" t="n">
        <v>150915.75</v>
      </c>
      <c r="F81" s="4" t="n">
        <v>208245.27</v>
      </c>
      <c r="G81" s="4" t="n">
        <v>196919.01</v>
      </c>
      <c r="H81" s="4" t="n">
        <v>0</v>
      </c>
      <c r="I81" s="4" t="n">
        <v>443.24</v>
      </c>
      <c r="J81" s="4" t="n">
        <v>150.92</v>
      </c>
      <c r="K81" s="4" t="n">
        <v>208.25</v>
      </c>
      <c r="L81" s="4" t="n">
        <v>196.92</v>
      </c>
    </row>
    <row r="82">
      <c r="A82" s="3" t="n">
        <v>75</v>
      </c>
      <c r="B82" s="3" t="inlineStr">
        <is>
          <t>4.3.01.2.1 d/q Seguro Defeso</t>
        </is>
      </c>
      <c r="C82" s="4" t="n">
        <v>0</v>
      </c>
      <c r="D82" s="4" t="n">
        <v>27048.11</v>
      </c>
      <c r="E82" s="4" t="n">
        <v>8859.17</v>
      </c>
      <c r="F82" s="4" t="n">
        <v>18578.84</v>
      </c>
      <c r="G82" s="4" t="n">
        <v>18671.89</v>
      </c>
      <c r="H82" s="4" t="n">
        <v>0</v>
      </c>
      <c r="I82" s="4" t="n">
        <v>27.05</v>
      </c>
      <c r="J82" s="4" t="n">
        <v>8.859999999999999</v>
      </c>
      <c r="K82" s="4" t="n">
        <v>18.58</v>
      </c>
      <c r="L82" s="4" t="n">
        <v>18.67</v>
      </c>
    </row>
    <row r="83">
      <c r="A83" s="3" t="n">
        <v>76</v>
      </c>
      <c r="B83" s="3" t="inlineStr">
        <is>
          <t>4.3.02  Anistiados</t>
        </is>
      </c>
      <c r="C83" s="4" t="n">
        <v>0</v>
      </c>
      <c r="D83" s="4" t="n">
        <v>2902.64</v>
      </c>
      <c r="E83" s="4" t="n">
        <v>703.72</v>
      </c>
      <c r="F83" s="4" t="n">
        <v>864.67</v>
      </c>
      <c r="G83" s="4" t="n">
        <v>734.4</v>
      </c>
      <c r="H83" s="4" t="n">
        <v>0</v>
      </c>
      <c r="I83" s="4" t="n">
        <v>2.9</v>
      </c>
      <c r="J83" s="4" t="n">
        <v>0.7</v>
      </c>
      <c r="K83" s="4" t="n">
        <v>0.86</v>
      </c>
      <c r="L83" s="4" t="n">
        <v>0.73</v>
      </c>
    </row>
    <row r="84">
      <c r="A84" s="3" t="n">
        <v>77</v>
      </c>
      <c r="B84" s="3" t="inlineStr">
        <is>
          <t>4.3.03  Apoio Fin. EE/MM</t>
        </is>
      </c>
      <c r="C84" s="4" t="n">
        <v>0</v>
      </c>
      <c r="D84" s="4" t="n">
        <v>14051.36</v>
      </c>
      <c r="E84" s="4" t="n">
        <v>4698.15</v>
      </c>
      <c r="F84" s="4" t="n">
        <v>128259.75</v>
      </c>
      <c r="G84" s="4" t="n">
        <v>38798.8</v>
      </c>
      <c r="H84" s="4" t="n">
        <v>0</v>
      </c>
      <c r="I84" s="4" t="n">
        <v>14.05</v>
      </c>
      <c r="J84" s="4" t="n">
        <v>4.7</v>
      </c>
      <c r="K84" s="4" t="n">
        <v>128.26</v>
      </c>
      <c r="L84" s="4" t="n">
        <v>38.8</v>
      </c>
    </row>
    <row r="85">
      <c r="A85" s="3" t="n">
        <v>78</v>
      </c>
      <c r="B85" s="3" t="inlineStr">
        <is>
          <t>4.3.04  Benefícios de Legislação Especial e Indenizações</t>
        </is>
      </c>
      <c r="C85" s="4" t="n">
        <v>0</v>
      </c>
      <c r="D85" s="4" t="n">
        <v>5062.41</v>
      </c>
      <c r="E85" s="4" t="n">
        <v>2347.07</v>
      </c>
      <c r="F85" s="4" t="n">
        <v>3649.36</v>
      </c>
      <c r="G85" s="4" t="n">
        <v>3203.2</v>
      </c>
      <c r="H85" s="4" t="n">
        <v>0</v>
      </c>
      <c r="I85" s="4" t="n">
        <v>5.06</v>
      </c>
      <c r="J85" s="4" t="n">
        <v>2.35</v>
      </c>
      <c r="K85" s="4" t="n">
        <v>3.65</v>
      </c>
      <c r="L85" s="4" t="n">
        <v>3.2</v>
      </c>
    </row>
    <row r="86">
      <c r="A86" s="3" t="n">
        <v>79</v>
      </c>
      <c r="B86" s="3" t="inlineStr">
        <is>
          <t>4.3.05  Benefícios de Prestação Continuada da LOAS/RMV</t>
        </is>
      </c>
      <c r="C86" s="4" t="n">
        <v>42334.73</v>
      </c>
      <c r="D86" s="4" t="n">
        <v>666713.8</v>
      </c>
      <c r="E86" s="4" t="n">
        <v>216511.19</v>
      </c>
      <c r="F86" s="4" t="n">
        <v>359838.79</v>
      </c>
      <c r="G86" s="4" t="n">
        <v>419509.74</v>
      </c>
      <c r="H86" s="4" t="n">
        <v>42.33</v>
      </c>
      <c r="I86" s="4" t="n">
        <v>666.71</v>
      </c>
      <c r="J86" s="4" t="n">
        <v>216.51</v>
      </c>
      <c r="K86" s="4" t="n">
        <v>359.84</v>
      </c>
      <c r="L86" s="4" t="n">
        <v>419.51</v>
      </c>
    </row>
    <row r="87">
      <c r="A87" s="3" t="n">
        <v>80</v>
      </c>
      <c r="B87" s="3" t="inlineStr">
        <is>
          <t>4.3.05.1 Sentenças Judiciais e Precatórios de BPC/LOAS</t>
        </is>
      </c>
      <c r="C87" s="4" t="n">
        <v>0</v>
      </c>
      <c r="D87" s="4" t="n">
        <v>6507.29</v>
      </c>
      <c r="E87" s="4" t="n">
        <v>4334.96</v>
      </c>
      <c r="F87" s="4" t="n">
        <v>8561.030000000001</v>
      </c>
      <c r="G87" s="4" t="n">
        <v>19281.12</v>
      </c>
      <c r="H87" s="4" t="n">
        <v>0</v>
      </c>
      <c r="I87" s="4" t="n">
        <v>6.51</v>
      </c>
      <c r="J87" s="4" t="n">
        <v>4.33</v>
      </c>
      <c r="K87" s="4" t="n">
        <v>8.56</v>
      </c>
      <c r="L87" s="4" t="n">
        <v>19.28</v>
      </c>
    </row>
    <row r="88">
      <c r="A88" s="3" t="n">
        <v>81</v>
      </c>
      <c r="B88" s="3" t="inlineStr">
        <is>
          <t>4.3.06  Complemento para o FGTS (LC nº 110/01)</t>
        </is>
      </c>
      <c r="C88" s="4" t="n">
        <v>0</v>
      </c>
      <c r="D88" s="4" t="n">
        <v>34676.39</v>
      </c>
      <c r="E88" s="4" t="n">
        <v>21283.47</v>
      </c>
      <c r="F88" s="4" t="n">
        <v>7960.44</v>
      </c>
      <c r="G88" s="4" t="n">
        <v>521.21</v>
      </c>
      <c r="H88" s="4" t="n">
        <v>0</v>
      </c>
      <c r="I88" s="4" t="n">
        <v>34.68</v>
      </c>
      <c r="J88" s="4" t="n">
        <v>21.28</v>
      </c>
      <c r="K88" s="4" t="n">
        <v>7.96</v>
      </c>
      <c r="L88" s="4" t="n">
        <v>0.52</v>
      </c>
    </row>
    <row r="89">
      <c r="A89" s="3" t="n">
        <v>82</v>
      </c>
      <c r="B89" s="3" t="inlineStr">
        <is>
          <t>4.3.07  Créditos Extraordinários 16/</t>
        </is>
      </c>
      <c r="C89" s="4" t="n">
        <v>0</v>
      </c>
      <c r="D89" s="4" t="n">
        <v>138391.51</v>
      </c>
      <c r="E89" s="4" t="n">
        <v>12890.54</v>
      </c>
      <c r="F89" s="4" t="n">
        <v>825421.4</v>
      </c>
      <c r="G89" s="4" t="n">
        <v>41503.08</v>
      </c>
      <c r="H89" s="4" t="n">
        <v>0</v>
      </c>
      <c r="I89" s="4" t="n">
        <v>138.39</v>
      </c>
      <c r="J89" s="4" t="n">
        <v>12.89</v>
      </c>
      <c r="K89" s="4" t="n">
        <v>825.42</v>
      </c>
      <c r="L89" s="4" t="n">
        <v>41.5</v>
      </c>
    </row>
    <row r="90">
      <c r="A90" s="3" t="n">
        <v>83</v>
      </c>
      <c r="B90" s="3" t="inlineStr">
        <is>
          <t>4.3.08  Compensação ao RGPS pelas Desonerações da Folha</t>
        </is>
      </c>
      <c r="C90" s="4" t="n">
        <v>0</v>
      </c>
      <c r="D90" s="4" t="n">
        <v>118646.97</v>
      </c>
      <c r="E90" s="4" t="n">
        <v>54721.03</v>
      </c>
      <c r="F90" s="4" t="n">
        <v>41655.4</v>
      </c>
      <c r="G90" s="4" t="n">
        <v>0</v>
      </c>
      <c r="H90" s="4" t="n">
        <v>0</v>
      </c>
      <c r="I90" s="4" t="n">
        <v>118.65</v>
      </c>
      <c r="J90" s="4" t="n">
        <v>54.72</v>
      </c>
      <c r="K90" s="4" t="n">
        <v>41.66</v>
      </c>
      <c r="L90" s="4" t="n">
        <v>0</v>
      </c>
    </row>
    <row r="91">
      <c r="A91" s="3" t="n">
        <v>84</v>
      </c>
      <c r="B91" s="3" t="inlineStr">
        <is>
          <t>4.3.09  Fabricação de Cédulas e Moedas</t>
        </is>
      </c>
      <c r="C91" s="4" t="n">
        <v>4583.9</v>
      </c>
      <c r="D91" s="4" t="n">
        <v>21349.96</v>
      </c>
      <c r="E91" s="4" t="n">
        <v>3723.4</v>
      </c>
      <c r="F91" s="4" t="n">
        <v>5327.8</v>
      </c>
      <c r="G91" s="4" t="n">
        <v>4020.93</v>
      </c>
      <c r="H91" s="4" t="n">
        <v>4.58</v>
      </c>
      <c r="I91" s="4" t="n">
        <v>21.35</v>
      </c>
      <c r="J91" s="4" t="n">
        <v>3.72</v>
      </c>
      <c r="K91" s="4" t="n">
        <v>5.33</v>
      </c>
      <c r="L91" s="4" t="n">
        <v>4.02</v>
      </c>
    </row>
    <row r="92">
      <c r="A92" s="3" t="n">
        <v>85</v>
      </c>
      <c r="B92" s="3" t="inlineStr">
        <is>
          <t>4.3.10  FUNDEB (Complem. União)</t>
        </is>
      </c>
      <c r="C92" s="4" t="n">
        <v>9403.639999999999</v>
      </c>
      <c r="D92" s="4" t="n">
        <v>164881.6</v>
      </c>
      <c r="E92" s="4" t="n">
        <v>52740.32</v>
      </c>
      <c r="F92" s="4" t="n">
        <v>112619.11</v>
      </c>
      <c r="G92" s="4" t="n">
        <v>188049.75</v>
      </c>
      <c r="H92" s="4" t="n">
        <v>9.4</v>
      </c>
      <c r="I92" s="4" t="n">
        <v>164.88</v>
      </c>
      <c r="J92" s="4" t="n">
        <v>52.74</v>
      </c>
      <c r="K92" s="4" t="n">
        <v>112.62</v>
      </c>
      <c r="L92" s="4" t="n">
        <v>188.05</v>
      </c>
    </row>
    <row r="93">
      <c r="A93" s="3" t="n">
        <v>86</v>
      </c>
      <c r="B93" s="3" t="inlineStr">
        <is>
          <t>4.3.11  Fundo Constitucional DF (Custeio e Capital)</t>
        </is>
      </c>
      <c r="C93" s="4" t="n">
        <v>0</v>
      </c>
      <c r="D93" s="4" t="n">
        <v>29020.72</v>
      </c>
      <c r="E93" s="4" t="n">
        <v>5928.11</v>
      </c>
      <c r="F93" s="4" t="n">
        <v>11009.66</v>
      </c>
      <c r="G93" s="4" t="n">
        <v>17737.81</v>
      </c>
      <c r="H93" s="4" t="n">
        <v>0</v>
      </c>
      <c r="I93" s="4" t="n">
        <v>29.02</v>
      </c>
      <c r="J93" s="4" t="n">
        <v>5.93</v>
      </c>
      <c r="K93" s="4" t="n">
        <v>11.01</v>
      </c>
      <c r="L93" s="4" t="n">
        <v>17.74</v>
      </c>
    </row>
    <row r="94">
      <c r="A94" s="3" t="n">
        <v>87</v>
      </c>
      <c r="B94" s="3" t="inlineStr">
        <is>
          <t>4.3.12  Legislativo/Judiciário/MPU/DPU (Custeio e Capital)</t>
        </is>
      </c>
      <c r="C94" s="4" t="n">
        <v>0</v>
      </c>
      <c r="D94" s="4" t="n">
        <v>146571.08</v>
      </c>
      <c r="E94" s="4" t="n">
        <v>52426.27</v>
      </c>
      <c r="F94" s="4" t="n">
        <v>66004.42999999999</v>
      </c>
      <c r="G94" s="4" t="n">
        <v>70134.56</v>
      </c>
      <c r="H94" s="4" t="n">
        <v>0</v>
      </c>
      <c r="I94" s="4" t="n">
        <v>146.57</v>
      </c>
      <c r="J94" s="4" t="n">
        <v>52.43</v>
      </c>
      <c r="K94" s="4" t="n">
        <v>66</v>
      </c>
      <c r="L94" s="4" t="n">
        <v>70.13</v>
      </c>
    </row>
    <row r="95">
      <c r="A95" s="3" t="n">
        <v>88</v>
      </c>
      <c r="B95" s="3" t="inlineStr">
        <is>
          <t>4.3.13  Lei Kandir (LC nº 87/96 e 102/00) e LC nº 176 de 2020</t>
        </is>
      </c>
      <c r="C95" s="4" t="n">
        <v>92080.13</v>
      </c>
      <c r="D95" s="4" t="n">
        <v>139172.78</v>
      </c>
      <c r="E95" s="4" t="n">
        <v>14957.65</v>
      </c>
      <c r="F95" s="4" t="n">
        <v>15490.02</v>
      </c>
      <c r="G95" s="4" t="n">
        <v>14807.33</v>
      </c>
      <c r="H95" s="4" t="n">
        <v>92.08</v>
      </c>
      <c r="I95" s="4" t="n">
        <v>139.17</v>
      </c>
      <c r="J95" s="4" t="n">
        <v>14.96</v>
      </c>
      <c r="K95" s="4" t="n">
        <v>15.49</v>
      </c>
      <c r="L95" s="4" t="n">
        <v>14.81</v>
      </c>
    </row>
    <row r="96">
      <c r="A96" s="3" t="n">
        <v>89</v>
      </c>
      <c r="B96" s="3" t="inlineStr">
        <is>
          <t>4.3.14  Sentenças Judiciais e Precatórios (Custeio e Capital)</t>
        </is>
      </c>
      <c r="C96" s="4" t="n">
        <v>0</v>
      </c>
      <c r="D96" s="4" t="n">
        <v>68108.84</v>
      </c>
      <c r="E96" s="4" t="n">
        <v>53555.68</v>
      </c>
      <c r="F96" s="4" t="n">
        <v>100934.06</v>
      </c>
      <c r="G96" s="4" t="n">
        <v>200850.59</v>
      </c>
      <c r="H96" s="4" t="n">
        <v>0</v>
      </c>
      <c r="I96" s="4" t="n">
        <v>68.11</v>
      </c>
      <c r="J96" s="4" t="n">
        <v>53.56</v>
      </c>
      <c r="K96" s="4" t="n">
        <v>100.93</v>
      </c>
      <c r="L96" s="4" t="n">
        <v>200.85</v>
      </c>
    </row>
    <row r="97">
      <c r="A97" s="3" t="n">
        <v>90</v>
      </c>
      <c r="B97" s="3" t="inlineStr">
        <is>
          <t>4.3.15  Subsídios, Subvenções e Proagro</t>
        </is>
      </c>
      <c r="C97" s="4" t="n">
        <v>66842.97</v>
      </c>
      <c r="D97" s="4" t="n">
        <v>302046.41</v>
      </c>
      <c r="E97" s="4" t="n">
        <v>70784.31</v>
      </c>
      <c r="F97" s="4" t="n">
        <v>75195.07000000001</v>
      </c>
      <c r="G97" s="4" t="n">
        <v>80381.67999999999</v>
      </c>
      <c r="H97" s="4" t="n">
        <v>66.84</v>
      </c>
      <c r="I97" s="4" t="n">
        <v>302.05</v>
      </c>
      <c r="J97" s="4" t="n">
        <v>70.78</v>
      </c>
      <c r="K97" s="4" t="n">
        <v>75.2</v>
      </c>
      <c r="L97" s="4" t="n">
        <v>80.38</v>
      </c>
    </row>
    <row r="98">
      <c r="A98" s="3" t="n">
        <v>91</v>
      </c>
      <c r="B98" s="3" t="inlineStr">
        <is>
          <t>4.3.15.1 Operações Oficiais de Crédito e Reordenamento de Passivos</t>
        </is>
      </c>
      <c r="C98" s="4" t="n">
        <v>66842.97</v>
      </c>
      <c r="D98" s="4" t="n">
        <v>292382</v>
      </c>
      <c r="E98" s="4" t="n">
        <v>69149.23</v>
      </c>
      <c r="F98" s="4" t="n">
        <v>55387.34</v>
      </c>
      <c r="G98" s="4" t="n">
        <v>60876.68</v>
      </c>
      <c r="H98" s="4" t="n">
        <v>66.84</v>
      </c>
      <c r="I98" s="4" t="n">
        <v>292.38</v>
      </c>
      <c r="J98" s="4" t="n">
        <v>69.15000000000001</v>
      </c>
      <c r="K98" s="4" t="n">
        <v>55.39</v>
      </c>
      <c r="L98" s="4" t="n">
        <v>60.88</v>
      </c>
    </row>
    <row r="99">
      <c r="A99" s="3" t="n">
        <v>92</v>
      </c>
      <c r="B99" s="3" t="inlineStr">
        <is>
          <t>4.3.15.1.1 Equalização de custeio agropecuário</t>
        </is>
      </c>
      <c r="C99" s="4" t="n">
        <v>5354.15</v>
      </c>
      <c r="D99" s="4" t="n">
        <v>26335.39</v>
      </c>
      <c r="E99" s="4" t="n">
        <v>6034.61</v>
      </c>
      <c r="F99" s="4" t="n">
        <v>6350.6</v>
      </c>
      <c r="G99" s="4" t="n">
        <v>5542.32</v>
      </c>
      <c r="H99" s="4" t="n">
        <v>5.35</v>
      </c>
      <c r="I99" s="4" t="n">
        <v>26.34</v>
      </c>
      <c r="J99" s="4" t="n">
        <v>6.03</v>
      </c>
      <c r="K99" s="4" t="n">
        <v>6.35</v>
      </c>
      <c r="L99" s="4" t="n">
        <v>5.54</v>
      </c>
    </row>
    <row r="100">
      <c r="A100" s="3" t="n">
        <v>93</v>
      </c>
      <c r="B100" s="3" t="inlineStr">
        <is>
          <t>4.1.15.1.2 Equalização de invest. rural e agroindustrial 4/</t>
        </is>
      </c>
      <c r="C100" s="4" t="n">
        <v>1079.97</v>
      </c>
      <c r="D100" s="4" t="n">
        <v>12654.12</v>
      </c>
      <c r="E100" s="4" t="n">
        <v>7727.98</v>
      </c>
      <c r="F100" s="4" t="n">
        <v>11884.9</v>
      </c>
      <c r="G100" s="4" t="n">
        <v>15631.91</v>
      </c>
      <c r="H100" s="4" t="n">
        <v>1.08</v>
      </c>
      <c r="I100" s="4" t="n">
        <v>12.65</v>
      </c>
      <c r="J100" s="4" t="n">
        <v>7.73</v>
      </c>
      <c r="K100" s="4" t="n">
        <v>11.88</v>
      </c>
      <c r="L100" s="4" t="n">
        <v>15.63</v>
      </c>
    </row>
    <row r="101">
      <c r="A101" s="3" t="n">
        <v>94</v>
      </c>
      <c r="B101" s="3" t="inlineStr">
        <is>
          <t>4.3.15.1.3 Política de preços agrícolas</t>
        </is>
      </c>
      <c r="C101" s="4" t="n">
        <v>10259.91</v>
      </c>
      <c r="D101" s="4" t="n">
        <v>35741.47</v>
      </c>
      <c r="E101" s="4" t="n">
        <v>2069.23</v>
      </c>
      <c r="F101" s="4" t="n">
        <v>987.5599999999999</v>
      </c>
      <c r="G101" s="4" t="n">
        <v>435.08</v>
      </c>
      <c r="H101" s="4" t="n">
        <v>10.26</v>
      </c>
      <c r="I101" s="4" t="n">
        <v>35.74</v>
      </c>
      <c r="J101" s="4" t="n">
        <v>2.07</v>
      </c>
      <c r="K101" s="4" t="n">
        <v>0.99</v>
      </c>
      <c r="L101" s="4" t="n">
        <v>0.44</v>
      </c>
    </row>
    <row r="102">
      <c r="A102" s="3" t="n">
        <v>95</v>
      </c>
      <c r="B102" s="3" t="inlineStr">
        <is>
          <t>4.3.15.1.3.1 Equalização Empréstimo do Governo Federal</t>
        </is>
      </c>
      <c r="C102" s="4" t="n">
        <v>1546.24</v>
      </c>
      <c r="D102" s="4" t="n">
        <v>1853.25</v>
      </c>
      <c r="E102" s="4" t="n">
        <v>223.61</v>
      </c>
      <c r="F102" s="4" t="n">
        <v>104.47</v>
      </c>
      <c r="G102" s="4" t="n">
        <v>36.42</v>
      </c>
      <c r="H102" s="4" t="n">
        <v>1.55</v>
      </c>
      <c r="I102" s="4" t="n">
        <v>1.85</v>
      </c>
      <c r="J102" s="4" t="n">
        <v>0.22</v>
      </c>
      <c r="K102" s="4" t="n">
        <v>0.1</v>
      </c>
      <c r="L102" s="4" t="n">
        <v>0.04</v>
      </c>
    </row>
    <row r="103">
      <c r="A103" s="3" t="n">
        <v>96</v>
      </c>
      <c r="B103" s="3" t="inlineStr">
        <is>
          <t>4.3.15.1.3.2 Equalização Aquisições do Governo Federal</t>
        </is>
      </c>
      <c r="C103" s="4" t="n">
        <v>5987.53</v>
      </c>
      <c r="D103" s="4" t="n">
        <v>13652.22</v>
      </c>
      <c r="E103" s="4" t="n">
        <v>925.62</v>
      </c>
      <c r="F103" s="4" t="n">
        <v>788.29</v>
      </c>
      <c r="G103" s="4" t="n">
        <v>398.66</v>
      </c>
      <c r="H103" s="4" t="n">
        <v>5.99</v>
      </c>
      <c r="I103" s="4" t="n">
        <v>13.65</v>
      </c>
      <c r="J103" s="4" t="n">
        <v>0.93</v>
      </c>
      <c r="K103" s="4" t="n">
        <v>0.79</v>
      </c>
      <c r="L103" s="4" t="n">
        <v>0.4</v>
      </c>
    </row>
    <row r="104">
      <c r="A104" s="3" t="n">
        <v>97</v>
      </c>
      <c r="B104" s="3" t="inlineStr">
        <is>
          <t>4.3.15.1.3.3 Garantia à Sustentação de Preços</t>
        </is>
      </c>
      <c r="C104" s="4" t="n">
        <v>2726.14</v>
      </c>
      <c r="D104" s="4" t="n">
        <v>20236</v>
      </c>
      <c r="E104" s="4" t="n">
        <v>920</v>
      </c>
      <c r="F104" s="4" t="n">
        <v>94.8</v>
      </c>
      <c r="G104" s="4" t="n">
        <v>0</v>
      </c>
      <c r="H104" s="4" t="n">
        <v>2.73</v>
      </c>
      <c r="I104" s="4" t="n">
        <v>20.24</v>
      </c>
      <c r="J104" s="4" t="n">
        <v>0.92</v>
      </c>
      <c r="K104" s="4" t="n">
        <v>0.09</v>
      </c>
      <c r="L104" s="4" t="n">
        <v>0</v>
      </c>
    </row>
    <row r="105">
      <c r="A105" s="3" t="n">
        <v>98</v>
      </c>
      <c r="B105" s="3" t="inlineStr">
        <is>
          <t>4.3.15.1.4 Pronaf</t>
        </is>
      </c>
      <c r="C105" s="4" t="n">
        <v>8704.040000000001</v>
      </c>
      <c r="D105" s="4" t="n">
        <v>56032.73</v>
      </c>
      <c r="E105" s="4" t="n">
        <v>14153.66</v>
      </c>
      <c r="F105" s="4" t="n">
        <v>17381.23</v>
      </c>
      <c r="G105" s="4" t="n">
        <v>26140.7</v>
      </c>
      <c r="H105" s="4" t="n">
        <v>8.699999999999999</v>
      </c>
      <c r="I105" s="4" t="n">
        <v>56.03</v>
      </c>
      <c r="J105" s="4" t="n">
        <v>14.15</v>
      </c>
      <c r="K105" s="4" t="n">
        <v>17.38</v>
      </c>
      <c r="L105" s="4" t="n">
        <v>26.14</v>
      </c>
    </row>
    <row r="106">
      <c r="A106" s="3" t="n">
        <v>99</v>
      </c>
      <c r="B106" s="3" t="inlineStr">
        <is>
          <t>4.3.15.1.4.1 Equalização Empréstimo do Governo Federal</t>
        </is>
      </c>
      <c r="C106" s="4" t="n">
        <v>0</v>
      </c>
      <c r="D106" s="4" t="n">
        <v>52929.71</v>
      </c>
      <c r="E106" s="4" t="n">
        <v>14643.05</v>
      </c>
      <c r="F106" s="4" t="n">
        <v>17536.79</v>
      </c>
      <c r="G106" s="4" t="n">
        <v>25167.4</v>
      </c>
      <c r="H106" s="4" t="n">
        <v>0</v>
      </c>
      <c r="I106" s="4" t="n">
        <v>52.93</v>
      </c>
      <c r="J106" s="4" t="n">
        <v>14.64</v>
      </c>
      <c r="K106" s="4" t="n">
        <v>17.54</v>
      </c>
      <c r="L106" s="4" t="n">
        <v>25.17</v>
      </c>
    </row>
    <row r="107">
      <c r="A107" s="3" t="n">
        <v>100</v>
      </c>
      <c r="B107" s="3" t="inlineStr">
        <is>
          <t>4.3.15.1.4.2 Concessão de Financiamento 5/</t>
        </is>
      </c>
      <c r="C107" s="4" t="n">
        <v>0</v>
      </c>
      <c r="D107" s="4" t="n">
        <v>3103.02</v>
      </c>
      <c r="E107" s="4" t="n">
        <v>-489.39</v>
      </c>
      <c r="F107" s="4" t="n">
        <v>-155.56</v>
      </c>
      <c r="G107" s="4" t="n">
        <v>973.3</v>
      </c>
      <c r="H107" s="4" t="n">
        <v>0</v>
      </c>
      <c r="I107" s="4" t="n">
        <v>3.1</v>
      </c>
      <c r="J107" s="4" t="n">
        <v>-0.49</v>
      </c>
      <c r="K107" s="4" t="n">
        <v>-0.16</v>
      </c>
      <c r="L107" s="4" t="n">
        <v>0.97</v>
      </c>
    </row>
    <row r="108">
      <c r="A108" s="3" t="n">
        <v>101</v>
      </c>
      <c r="B108" s="3" t="inlineStr">
        <is>
          <t>4.3.15.1.4.3 Aquisição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</row>
    <row r="109">
      <c r="A109" s="3" t="n">
        <v>102</v>
      </c>
      <c r="B109" s="3" t="inlineStr">
        <is>
          <t>4.3.15.1.5 Proex</t>
        </is>
      </c>
      <c r="C109" s="4" t="n">
        <v>20370.18</v>
      </c>
      <c r="D109" s="4" t="n">
        <v>13620.94</v>
      </c>
      <c r="E109" s="4" t="n">
        <v>2109.34</v>
      </c>
      <c r="F109" s="4" t="n">
        <v>2557.51</v>
      </c>
      <c r="G109" s="4" t="n">
        <v>2135.09</v>
      </c>
      <c r="H109" s="4" t="n">
        <v>20.37</v>
      </c>
      <c r="I109" s="4" t="n">
        <v>13.62</v>
      </c>
      <c r="J109" s="4" t="n">
        <v>2.11</v>
      </c>
      <c r="K109" s="4" t="n">
        <v>2.56</v>
      </c>
      <c r="L109" s="4" t="n">
        <v>2.14</v>
      </c>
    </row>
    <row r="110">
      <c r="A110" s="3" t="n">
        <v>103</v>
      </c>
      <c r="B110" s="3" t="inlineStr">
        <is>
          <t>4.3.15.1.5.1 Equalização Empréstimo do Governo Federal</t>
        </is>
      </c>
      <c r="C110" s="4" t="n">
        <v>0</v>
      </c>
      <c r="D110" s="4" t="n">
        <v>18432.88</v>
      </c>
      <c r="E110" s="4" t="n">
        <v>2874.47</v>
      </c>
      <c r="F110" s="4" t="n">
        <v>2049.8</v>
      </c>
      <c r="G110" s="4" t="n">
        <v>2251.83</v>
      </c>
      <c r="H110" s="4" t="n">
        <v>0</v>
      </c>
      <c r="I110" s="4" t="n">
        <v>18.43</v>
      </c>
      <c r="J110" s="4" t="n">
        <v>2.87</v>
      </c>
      <c r="K110" s="4" t="n">
        <v>2.05</v>
      </c>
      <c r="L110" s="4" t="n">
        <v>2.25</v>
      </c>
    </row>
    <row r="111">
      <c r="A111" s="3" t="n">
        <v>104</v>
      </c>
      <c r="B111" s="3" t="inlineStr">
        <is>
          <t>4.3.15.1.5.2 Concessão de Financiamento 5/</t>
        </is>
      </c>
      <c r="C111" s="4" t="n">
        <v>0</v>
      </c>
      <c r="D111" s="4" t="n">
        <v>-4811.95</v>
      </c>
      <c r="E111" s="4" t="n">
        <v>-765.13</v>
      </c>
      <c r="F111" s="4" t="n">
        <v>507.71</v>
      </c>
      <c r="G111" s="4" t="n">
        <v>-116.74</v>
      </c>
      <c r="H111" s="4" t="n">
        <v>0</v>
      </c>
      <c r="I111" s="4" t="n">
        <v>-4.81</v>
      </c>
      <c r="J111" s="4" t="n">
        <v>-0.77</v>
      </c>
      <c r="K111" s="4" t="n">
        <v>0.51</v>
      </c>
      <c r="L111" s="4" t="n">
        <v>-0.12</v>
      </c>
    </row>
    <row r="112">
      <c r="A112" s="3" t="n">
        <v>105</v>
      </c>
      <c r="B112" s="3" t="inlineStr">
        <is>
          <t>4.3.15.1.6 Programa especial de saneamento de ativos (PESA) 6/</t>
        </is>
      </c>
      <c r="C112" s="4" t="n">
        <v>245.12</v>
      </c>
      <c r="D112" s="4" t="n">
        <v>16907.93</v>
      </c>
      <c r="E112" s="4" t="n">
        <v>3704.7</v>
      </c>
      <c r="F112" s="4" t="n">
        <v>3531.65</v>
      </c>
      <c r="G112" s="4" t="n">
        <v>2410.42</v>
      </c>
      <c r="H112" s="4" t="n">
        <v>0.25</v>
      </c>
      <c r="I112" s="4" t="n">
        <v>16.91</v>
      </c>
      <c r="J112" s="4" t="n">
        <v>3.7</v>
      </c>
      <c r="K112" s="4" t="n">
        <v>3.53</v>
      </c>
      <c r="L112" s="4" t="n">
        <v>2.41</v>
      </c>
    </row>
    <row r="113">
      <c r="A113" s="3" t="n">
        <v>106</v>
      </c>
      <c r="B113" s="3" t="inlineStr">
        <is>
          <t>4.3.15.1.7 Álcool</t>
        </is>
      </c>
      <c r="C113" s="4" t="n">
        <v>0</v>
      </c>
      <c r="D113" s="4" t="n">
        <v>137.57</v>
      </c>
      <c r="E113" s="4" t="n">
        <v>162.93</v>
      </c>
      <c r="F113" s="4" t="n">
        <v>25.23</v>
      </c>
      <c r="G113" s="4" t="n">
        <v>0</v>
      </c>
      <c r="H113" s="4" t="n">
        <v>0</v>
      </c>
      <c r="I113" s="4" t="n">
        <v>0.14</v>
      </c>
      <c r="J113" s="4" t="n">
        <v>0.16</v>
      </c>
      <c r="K113" s="4" t="n">
        <v>0.03</v>
      </c>
      <c r="L113" s="4" t="n">
        <v>0</v>
      </c>
    </row>
    <row r="114">
      <c r="A114" s="3" t="n">
        <v>107</v>
      </c>
      <c r="B114" s="3" t="inlineStr">
        <is>
          <t>4.3.15.1.8 Cacau</t>
        </is>
      </c>
      <c r="C114" s="4" t="n">
        <v>0</v>
      </c>
      <c r="D114" s="4" t="n">
        <v>14.85</v>
      </c>
      <c r="E114" s="4" t="n">
        <v>44.46</v>
      </c>
      <c r="F114" s="4" t="n">
        <v>12.35</v>
      </c>
      <c r="G114" s="4" t="n">
        <v>0</v>
      </c>
      <c r="H114" s="4" t="n">
        <v>0</v>
      </c>
      <c r="I114" s="4" t="n">
        <v>0.01</v>
      </c>
      <c r="J114" s="4" t="n">
        <v>0.04</v>
      </c>
      <c r="K114" s="4" t="n">
        <v>0.01</v>
      </c>
      <c r="L114" s="4" t="n">
        <v>0</v>
      </c>
    </row>
    <row r="115">
      <c r="A115" s="3" t="n">
        <v>108</v>
      </c>
      <c r="B115" s="3" t="inlineStr">
        <is>
          <t>4.3.15.1.9 Programa de subsídio à habitação de interesse social (PSH)</t>
        </is>
      </c>
      <c r="C115" s="4" t="n">
        <v>217.87</v>
      </c>
      <c r="D115" s="4" t="n">
        <v>5148.33</v>
      </c>
      <c r="E115" s="4" t="n">
        <v>0</v>
      </c>
      <c r="F115" s="4" t="n">
        <v>0</v>
      </c>
      <c r="G115" s="4" t="n">
        <v>0</v>
      </c>
      <c r="H115" s="4" t="n">
        <v>0.22</v>
      </c>
      <c r="I115" s="4" t="n">
        <v>5.15</v>
      </c>
      <c r="J115" s="4" t="n">
        <v>0</v>
      </c>
      <c r="K115" s="4" t="n">
        <v>0</v>
      </c>
      <c r="L115" s="4" t="n">
        <v>0</v>
      </c>
    </row>
    <row r="116">
      <c r="A116" s="3" t="n">
        <v>109</v>
      </c>
      <c r="B116" s="3" t="inlineStr">
        <is>
          <t>4.3.15.1.10 Securitização da dívida agrícola (LEI 9.138/1995)</t>
        </is>
      </c>
      <c r="C116" s="4" t="n">
        <v>20611.73</v>
      </c>
      <c r="D116" s="4" t="n">
        <v>26721.97</v>
      </c>
      <c r="E116" s="4" t="n">
        <v>0</v>
      </c>
      <c r="F116" s="4" t="n">
        <v>0</v>
      </c>
      <c r="G116" s="4" t="n">
        <v>0</v>
      </c>
      <c r="H116" s="4" t="n">
        <v>20.61</v>
      </c>
      <c r="I116" s="4" t="n">
        <v>26.72</v>
      </c>
      <c r="J116" s="4" t="n">
        <v>0</v>
      </c>
      <c r="K116" s="4" t="n">
        <v>0</v>
      </c>
      <c r="L116" s="4" t="n">
        <v>0</v>
      </c>
    </row>
    <row r="117">
      <c r="A117" s="3" t="n">
        <v>110</v>
      </c>
      <c r="B117" s="3" t="inlineStr">
        <is>
          <t>4.3.15.1.11 Fundo da terra/ INCRA 5/</t>
        </is>
      </c>
      <c r="C117" s="4" t="n">
        <v>0</v>
      </c>
      <c r="D117" s="4" t="n">
        <v>19225.37</v>
      </c>
      <c r="E117" s="4" t="n">
        <v>1003.64</v>
      </c>
      <c r="F117" s="4" t="n">
        <v>1367.73</v>
      </c>
      <c r="G117" s="4" t="n">
        <v>3324.55</v>
      </c>
      <c r="H117" s="4" t="n">
        <v>0</v>
      </c>
      <c r="I117" s="4" t="n">
        <v>19.23</v>
      </c>
      <c r="J117" s="4" t="n">
        <v>1</v>
      </c>
      <c r="K117" s="4" t="n">
        <v>1.37</v>
      </c>
      <c r="L117" s="4" t="n">
        <v>3.32</v>
      </c>
    </row>
    <row r="118">
      <c r="A118" s="3" t="n">
        <v>111</v>
      </c>
      <c r="B118" s="3" t="inlineStr">
        <is>
          <t>4.3.15.1.12 Funcafé</t>
        </is>
      </c>
      <c r="C118" s="4" t="n">
        <v>0</v>
      </c>
      <c r="D118" s="4" t="n">
        <v>1311.7</v>
      </c>
      <c r="E118" s="4" t="n">
        <v>454.26</v>
      </c>
      <c r="F118" s="4" t="n">
        <v>83.56999999999999</v>
      </c>
      <c r="G118" s="4" t="n">
        <v>0</v>
      </c>
      <c r="H118" s="4" t="n">
        <v>0</v>
      </c>
      <c r="I118" s="4" t="n">
        <v>1.31</v>
      </c>
      <c r="J118" s="4" t="n">
        <v>0.45</v>
      </c>
      <c r="K118" s="4" t="n">
        <v>0.08</v>
      </c>
      <c r="L118" s="4" t="n">
        <v>0</v>
      </c>
    </row>
    <row r="119">
      <c r="A119" s="3" t="n">
        <v>112</v>
      </c>
      <c r="B119" s="3" t="inlineStr">
        <is>
          <t xml:space="preserve">4.3.15.1.13 Revitaliza </t>
        </is>
      </c>
      <c r="C119" s="4" t="n">
        <v>0</v>
      </c>
      <c r="D119" s="4" t="n">
        <v>385.95</v>
      </c>
      <c r="E119" s="4" t="n">
        <v>58.66</v>
      </c>
      <c r="F119" s="4" t="n">
        <v>9.92</v>
      </c>
      <c r="G119" s="4" t="n">
        <v>0.53</v>
      </c>
      <c r="H119" s="4" t="n">
        <v>0</v>
      </c>
      <c r="I119" s="4" t="n">
        <v>0.39</v>
      </c>
      <c r="J119" s="4" t="n">
        <v>0.06</v>
      </c>
      <c r="K119" s="4" t="n">
        <v>0.01</v>
      </c>
      <c r="L119" s="4" t="n">
        <v>0</v>
      </c>
    </row>
    <row r="120">
      <c r="A120" s="3" t="n">
        <v>113</v>
      </c>
      <c r="B120" s="3" t="inlineStr">
        <is>
          <t>4.3.15.1.14 Programa de Sustentação ao Investimento - PSI</t>
        </is>
      </c>
      <c r="C120" s="4" t="n">
        <v>0</v>
      </c>
      <c r="D120" s="4" t="n">
        <v>63763.24</v>
      </c>
      <c r="E120" s="4" t="n">
        <v>28488.5</v>
      </c>
      <c r="F120" s="4" t="n">
        <v>9119</v>
      </c>
      <c r="G120" s="4" t="n">
        <v>1137</v>
      </c>
      <c r="H120" s="4" t="n">
        <v>0</v>
      </c>
      <c r="I120" s="4" t="n">
        <v>63.76</v>
      </c>
      <c r="J120" s="4" t="n">
        <v>28.49</v>
      </c>
      <c r="K120" s="4" t="n">
        <v>9.119999999999999</v>
      </c>
      <c r="L120" s="4" t="n">
        <v>1.14</v>
      </c>
    </row>
    <row r="121">
      <c r="A121" s="3" t="n">
        <v>114</v>
      </c>
      <c r="B121" s="3" t="inlineStr">
        <is>
          <t>4.3.15.1.15 Operações de Microcredito Produtivo Orientado (EQMPO)</t>
        </is>
      </c>
      <c r="C121" s="4" t="n">
        <v>0</v>
      </c>
      <c r="D121" s="4" t="n">
        <v>2903.39</v>
      </c>
      <c r="E121" s="4" t="n">
        <v>8.210000000000001</v>
      </c>
      <c r="F121" s="4" t="n">
        <v>0</v>
      </c>
      <c r="G121" s="4" t="n">
        <v>0</v>
      </c>
      <c r="H121" s="4" t="n">
        <v>0</v>
      </c>
      <c r="I121" s="4" t="n">
        <v>2.9</v>
      </c>
      <c r="J121" s="4" t="n">
        <v>0.01</v>
      </c>
      <c r="K121" s="4" t="n">
        <v>0</v>
      </c>
      <c r="L121" s="4" t="n">
        <v>0</v>
      </c>
    </row>
    <row r="122">
      <c r="A122" s="3" t="n">
        <v>115</v>
      </c>
      <c r="B122" s="3" t="inlineStr">
        <is>
          <t>4.3.15.1.16 Operações de crédito destinadas a Pessoas com deficiência (EQPCD) 7/</t>
        </is>
      </c>
      <c r="C122" s="4" t="n">
        <v>0</v>
      </c>
      <c r="D122" s="4" t="n">
        <v>16.15</v>
      </c>
      <c r="E122" s="4" t="n">
        <v>24.96</v>
      </c>
      <c r="F122" s="4" t="n">
        <v>44.33</v>
      </c>
      <c r="G122" s="4" t="n">
        <v>41.78</v>
      </c>
      <c r="H122" s="4" t="n">
        <v>0</v>
      </c>
      <c r="I122" s="4" t="n">
        <v>0.02</v>
      </c>
      <c r="J122" s="4" t="n">
        <v>0.02</v>
      </c>
      <c r="K122" s="4" t="n">
        <v>0.04</v>
      </c>
      <c r="L122" s="4" t="n">
        <v>0.04</v>
      </c>
    </row>
    <row r="123">
      <c r="A123" s="3" t="n">
        <v>116</v>
      </c>
      <c r="B123" s="3" t="inlineStr">
        <is>
          <t>4.3.15.1.17 Fundo nacional de desenvolvimento (FND) 5/</t>
        </is>
      </c>
      <c r="C123" s="4" t="n">
        <v>0</v>
      </c>
      <c r="D123" s="4" t="n">
        <v>-13543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-13.54</v>
      </c>
      <c r="J123" s="4" t="n">
        <v>0</v>
      </c>
      <c r="K123" s="4" t="n">
        <v>0</v>
      </c>
      <c r="L123" s="4" t="n">
        <v>0</v>
      </c>
    </row>
    <row r="124">
      <c r="A124" s="3" t="n">
        <v>117</v>
      </c>
      <c r="B124" s="3" t="inlineStr">
        <is>
          <t>4.3.15.1.18 Fundo Setorial Audiovisual (FSA)</t>
        </is>
      </c>
      <c r="C124" s="4" t="n">
        <v>0</v>
      </c>
      <c r="D124" s="4" t="n">
        <v>2326.7</v>
      </c>
      <c r="E124" s="4" t="n">
        <v>2523.18</v>
      </c>
      <c r="F124" s="4" t="n">
        <v>2618.97</v>
      </c>
      <c r="G124" s="4" t="n">
        <v>4398.22</v>
      </c>
      <c r="H124" s="4" t="n">
        <v>0</v>
      </c>
      <c r="I124" s="4" t="n">
        <v>2.33</v>
      </c>
      <c r="J124" s="4" t="n">
        <v>2.52</v>
      </c>
      <c r="K124" s="4" t="n">
        <v>2.62</v>
      </c>
      <c r="L124" s="4" t="n">
        <v>4.4</v>
      </c>
    </row>
    <row r="125">
      <c r="A125" s="3" t="n">
        <v>118</v>
      </c>
      <c r="B125" s="3" t="inlineStr">
        <is>
          <t>4.3.15.1.19 Capitalização à Emgea</t>
        </is>
      </c>
      <c r="C125" s="4" t="n">
        <v>0</v>
      </c>
      <c r="D125" s="4" t="n">
        <v>18148.48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18.15</v>
      </c>
      <c r="J125" s="4" t="n">
        <v>0</v>
      </c>
      <c r="K125" s="4" t="n">
        <v>0</v>
      </c>
      <c r="L125" s="4" t="n">
        <v>0</v>
      </c>
    </row>
    <row r="126">
      <c r="A126" s="3" t="n">
        <v>119</v>
      </c>
      <c r="B126" s="3" t="inlineStr">
        <is>
          <t>4.3.15.1.20 Subv. Parcial à Remuneração por Cessão de Energia Elétrica de Itaipu</t>
        </is>
      </c>
      <c r="C126" s="4" t="n">
        <v>0</v>
      </c>
      <c r="D126" s="4" t="n">
        <v>4539.69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4.54</v>
      </c>
      <c r="J126" s="4" t="n">
        <v>0</v>
      </c>
      <c r="K126" s="4" t="n">
        <v>0</v>
      </c>
      <c r="L126" s="4" t="n">
        <v>0</v>
      </c>
    </row>
    <row r="127">
      <c r="A127" s="3" t="n">
        <v>120</v>
      </c>
      <c r="B127" s="3" t="inlineStr">
        <is>
          <t>4.3.15.1.21 Subvenções Econômicas</t>
        </is>
      </c>
      <c r="C127" s="4" t="n">
        <v>0</v>
      </c>
      <c r="D127" s="4" t="n">
        <v>298.58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0.3</v>
      </c>
      <c r="J127" s="4" t="n">
        <v>0</v>
      </c>
      <c r="K127" s="4" t="n">
        <v>0</v>
      </c>
      <c r="L127" s="4" t="n">
        <v>0</v>
      </c>
    </row>
    <row r="128">
      <c r="A128" s="3" t="n">
        <v>121</v>
      </c>
      <c r="B128" s="3" t="inlineStr">
        <is>
          <t>4.3.15.1.22 Equalização dos Fundos FDA/FDNE/FDCO</t>
        </is>
      </c>
      <c r="C128" s="4" t="n">
        <v>0</v>
      </c>
      <c r="D128" s="4" t="n">
        <v>109.08</v>
      </c>
      <c r="E128" s="4" t="n">
        <v>180.61</v>
      </c>
      <c r="F128" s="4" t="n">
        <v>185.44</v>
      </c>
      <c r="G128" s="4" t="n">
        <v>66.92</v>
      </c>
      <c r="H128" s="4" t="n">
        <v>0</v>
      </c>
      <c r="I128" s="4" t="n">
        <v>0.11</v>
      </c>
      <c r="J128" s="4" t="n">
        <v>0.18</v>
      </c>
      <c r="K128" s="4" t="n">
        <v>0.19</v>
      </c>
      <c r="L128" s="4" t="n">
        <v>0.07000000000000001</v>
      </c>
    </row>
    <row r="129">
      <c r="A129" s="3" t="n">
        <v>122</v>
      </c>
      <c r="B129" s="3" t="inlineStr">
        <is>
          <t>4.3.15.1.23 Sudene</t>
        </is>
      </c>
      <c r="C129" s="4" t="n">
        <v>0</v>
      </c>
      <c r="D129" s="4" t="n">
        <v>0</v>
      </c>
      <c r="E129" s="4" t="n">
        <v>535.89</v>
      </c>
      <c r="F129" s="4" t="n">
        <v>222.67</v>
      </c>
      <c r="G129" s="4" t="n">
        <v>79.62</v>
      </c>
      <c r="H129" s="4" t="n">
        <v>0</v>
      </c>
      <c r="I129" s="4" t="n">
        <v>0</v>
      </c>
      <c r="J129" s="4" t="n">
        <v>0.54</v>
      </c>
      <c r="K129" s="4" t="n">
        <v>0.22</v>
      </c>
      <c r="L129" s="4" t="n">
        <v>0.08</v>
      </c>
    </row>
    <row r="130">
      <c r="A130" s="3" t="n">
        <v>123</v>
      </c>
      <c r="B130" s="3" t="inlineStr">
        <is>
          <t>4.3.15.1.24 Receitas de Recuperação de Subvenções 8/</t>
        </is>
      </c>
      <c r="C130" s="4" t="n">
        <v>0</v>
      </c>
      <c r="D130" s="4" t="n">
        <v>-418.63</v>
      </c>
      <c r="E130" s="4" t="n">
        <v>-135.56</v>
      </c>
      <c r="F130" s="4" t="n">
        <v>-995.3099999999999</v>
      </c>
      <c r="G130" s="4" t="n">
        <v>-467.48</v>
      </c>
      <c r="H130" s="4" t="n">
        <v>0</v>
      </c>
      <c r="I130" s="4" t="n">
        <v>-0.42</v>
      </c>
      <c r="J130" s="4" t="n">
        <v>-0.14</v>
      </c>
      <c r="K130" s="4" t="n">
        <v>-1</v>
      </c>
      <c r="L130" s="4" t="n">
        <v>-0.47</v>
      </c>
    </row>
    <row r="131">
      <c r="A131" s="3" t="n">
        <v>124</v>
      </c>
      <c r="B131" s="3" t="inlineStr">
        <is>
          <t>4.3.15.2 Proagro</t>
        </is>
      </c>
      <c r="C131" s="4" t="n">
        <v>0</v>
      </c>
      <c r="D131" s="4" t="n">
        <v>10799.96</v>
      </c>
      <c r="E131" s="4" t="n">
        <v>2045.75</v>
      </c>
      <c r="F131" s="4" t="n">
        <v>11343.42</v>
      </c>
      <c r="G131" s="4" t="n">
        <v>21976.69</v>
      </c>
      <c r="H131" s="4" t="n">
        <v>0</v>
      </c>
      <c r="I131" s="4" t="n">
        <v>10.8</v>
      </c>
      <c r="J131" s="4" t="n">
        <v>2.05</v>
      </c>
      <c r="K131" s="4" t="n">
        <v>11.34</v>
      </c>
      <c r="L131" s="4" t="n">
        <v>21.98</v>
      </c>
    </row>
    <row r="132">
      <c r="A132" s="3" t="n">
        <v>125</v>
      </c>
      <c r="B132" s="3" t="inlineStr">
        <is>
          <t>4.3.15.3 PNAFE</t>
        </is>
      </c>
      <c r="C132" s="4" t="n">
        <v>0</v>
      </c>
      <c r="D132" s="4" t="n">
        <v>-1365.44</v>
      </c>
      <c r="E132" s="4" t="n">
        <v>-426.92</v>
      </c>
      <c r="F132" s="4" t="n">
        <v>-86.58</v>
      </c>
      <c r="G132" s="4" t="n">
        <v>-62.4</v>
      </c>
      <c r="H132" s="4" t="n">
        <v>0</v>
      </c>
      <c r="I132" s="4" t="n">
        <v>-1.37</v>
      </c>
      <c r="J132" s="4" t="n">
        <v>-0.43</v>
      </c>
      <c r="K132" s="4" t="n">
        <v>-0.09</v>
      </c>
      <c r="L132" s="4" t="n">
        <v>-0.06</v>
      </c>
    </row>
    <row r="133">
      <c r="A133" s="3" t="n">
        <v>126</v>
      </c>
      <c r="B133" s="3" t="inlineStr">
        <is>
          <t>4.3.15.4 Demais Subsídios e Subvenções</t>
        </is>
      </c>
      <c r="C133" s="4" t="n">
        <v>0</v>
      </c>
      <c r="D133" s="4" t="n">
        <v>229.89</v>
      </c>
      <c r="E133" s="4" t="n">
        <v>16.25</v>
      </c>
      <c r="F133" s="4" t="n">
        <v>8550.879999999999</v>
      </c>
      <c r="G133" s="4" t="n">
        <v>-2409.28</v>
      </c>
      <c r="H133" s="4" t="n">
        <v>0</v>
      </c>
      <c r="I133" s="4" t="n">
        <v>0.23</v>
      </c>
      <c r="J133" s="4" t="n">
        <v>0.02</v>
      </c>
      <c r="K133" s="4" t="n">
        <v>8.550000000000001</v>
      </c>
      <c r="L133" s="4" t="n">
        <v>-2.41</v>
      </c>
    </row>
    <row r="134">
      <c r="A134" s="3" t="n">
        <v>127</v>
      </c>
      <c r="B134" s="3" t="inlineStr">
        <is>
          <t>4.3.16 Transferências ANA</t>
        </is>
      </c>
      <c r="C134" s="4" t="n">
        <v>0</v>
      </c>
      <c r="D134" s="4" t="n">
        <v>4411.21</v>
      </c>
      <c r="E134" s="4" t="n">
        <v>1217.13</v>
      </c>
      <c r="F134" s="4" t="n">
        <v>793.52</v>
      </c>
      <c r="G134" s="4" t="n">
        <v>411.74</v>
      </c>
      <c r="H134" s="4" t="n">
        <v>0</v>
      </c>
      <c r="I134" s="4" t="n">
        <v>4.41</v>
      </c>
      <c r="J134" s="4" t="n">
        <v>1.22</v>
      </c>
      <c r="K134" s="4" t="n">
        <v>0.79</v>
      </c>
      <c r="L134" s="4" t="n">
        <v>0.41</v>
      </c>
    </row>
    <row r="135">
      <c r="A135" s="3" t="n">
        <v>128</v>
      </c>
      <c r="B135" s="3" t="inlineStr">
        <is>
          <t>4.3.17 Transferências Multas ANEEL</t>
        </is>
      </c>
      <c r="C135" s="4" t="n">
        <v>0</v>
      </c>
      <c r="D135" s="4" t="n">
        <v>1829.83</v>
      </c>
      <c r="E135" s="4" t="n">
        <v>3923.64</v>
      </c>
      <c r="F135" s="4" t="n">
        <v>7645.2</v>
      </c>
      <c r="G135" s="4" t="n">
        <v>7415.88</v>
      </c>
      <c r="H135" s="4" t="n">
        <v>0</v>
      </c>
      <c r="I135" s="4" t="n">
        <v>1.83</v>
      </c>
      <c r="J135" s="4" t="n">
        <v>3.92</v>
      </c>
      <c r="K135" s="4" t="n">
        <v>7.65</v>
      </c>
      <c r="L135" s="4" t="n">
        <v>7.42</v>
      </c>
    </row>
    <row r="136">
      <c r="A136" s="3" t="n">
        <v>129</v>
      </c>
      <c r="B136" s="3" t="inlineStr">
        <is>
          <t>4.3.18 Impacto Primário do FIES</t>
        </is>
      </c>
      <c r="C136" s="4" t="n">
        <v>0</v>
      </c>
      <c r="D136" s="4" t="n">
        <v>50160.38</v>
      </c>
      <c r="E136" s="4" t="n">
        <v>20538.03</v>
      </c>
      <c r="F136" s="4" t="n">
        <v>1714.33</v>
      </c>
      <c r="G136" s="4" t="n">
        <v>6807.9</v>
      </c>
      <c r="H136" s="4" t="n">
        <v>0</v>
      </c>
      <c r="I136" s="4" t="n">
        <v>50.16</v>
      </c>
      <c r="J136" s="4" t="n">
        <v>20.54</v>
      </c>
      <c r="K136" s="4" t="n">
        <v>1.71</v>
      </c>
      <c r="L136" s="4" t="n">
        <v>6.81</v>
      </c>
    </row>
    <row r="137">
      <c r="A137" s="3" t="n">
        <v>130</v>
      </c>
      <c r="B137" s="3" t="inlineStr">
        <is>
          <t>4.3.19 Financiamento de Campanha Eleitoral</t>
        </is>
      </c>
      <c r="C137" s="4" t="n">
        <v>0</v>
      </c>
      <c r="D137" s="4" t="n">
        <v>0</v>
      </c>
      <c r="E137" s="4" t="n">
        <v>2593.07</v>
      </c>
      <c r="F137" s="4" t="n">
        <v>8817.219999999999</v>
      </c>
      <c r="G137" s="4" t="n">
        <v>5433.77</v>
      </c>
      <c r="H137" s="4" t="n">
        <v>0</v>
      </c>
      <c r="I137" s="4" t="n">
        <v>0</v>
      </c>
      <c r="J137" s="4" t="n">
        <v>2.59</v>
      </c>
      <c r="K137" s="4" t="n">
        <v>8.82</v>
      </c>
      <c r="L137" s="4" t="n">
        <v>5.43</v>
      </c>
    </row>
    <row r="138">
      <c r="A138" s="3" t="n">
        <v>131</v>
      </c>
      <c r="B138" s="3" t="inlineStr">
        <is>
          <t>4.3.20 Demais Despesas Obrigatórias</t>
        </is>
      </c>
      <c r="C138" s="4" t="n">
        <v>5428.74</v>
      </c>
      <c r="D138" s="4" t="n">
        <v>60268.22</v>
      </c>
      <c r="E138" s="4" t="n">
        <v>1598.45</v>
      </c>
      <c r="F138" s="4" t="n">
        <v>0</v>
      </c>
      <c r="G138" s="4" t="n">
        <v>0</v>
      </c>
      <c r="H138" s="4" t="n">
        <v>5.43</v>
      </c>
      <c r="I138" s="4" t="n">
        <v>60.27</v>
      </c>
      <c r="J138" s="4" t="n">
        <v>1.6</v>
      </c>
      <c r="K138" s="4" t="n">
        <v>0</v>
      </c>
      <c r="L138" s="4" t="n">
        <v>0</v>
      </c>
    </row>
    <row r="139">
      <c r="A139" s="3" t="n">
        <v>132</v>
      </c>
      <c r="B139" s="3" t="inlineStr">
        <is>
          <t>4.3.20.1 Auxílio CDE</t>
        </is>
      </c>
      <c r="C139" s="4" t="n">
        <v>0</v>
      </c>
      <c r="D139" s="4" t="n">
        <v>36399.63</v>
      </c>
      <c r="E139" s="4" t="n">
        <v>267.55</v>
      </c>
      <c r="F139" s="4" t="n">
        <v>0</v>
      </c>
      <c r="G139" s="4" t="n">
        <v>0</v>
      </c>
      <c r="H139" s="4" t="n">
        <v>0</v>
      </c>
      <c r="I139" s="4" t="n">
        <v>36.4</v>
      </c>
      <c r="J139" s="4" t="n">
        <v>0.27</v>
      </c>
      <c r="K139" s="4" t="n">
        <v>0</v>
      </c>
      <c r="L139" s="4" t="n">
        <v>0</v>
      </c>
    </row>
    <row r="140">
      <c r="A140" s="3" t="n">
        <v>133</v>
      </c>
      <c r="B140" s="3" t="inlineStr">
        <is>
          <t>4.3.20.2 Convênios</t>
        </is>
      </c>
      <c r="C140" s="4" t="n">
        <v>5428.74</v>
      </c>
      <c r="D140" s="4" t="n">
        <v>4647.44</v>
      </c>
      <c r="E140" s="4" t="n">
        <v>574.5599999999999</v>
      </c>
      <c r="F140" s="4" t="n">
        <v>0</v>
      </c>
      <c r="G140" s="4" t="n">
        <v>0</v>
      </c>
      <c r="H140" s="4" t="n">
        <v>5.43</v>
      </c>
      <c r="I140" s="4" t="n">
        <v>4.65</v>
      </c>
      <c r="J140" s="4" t="n">
        <v>0.57</v>
      </c>
      <c r="K140" s="4" t="n">
        <v>0</v>
      </c>
      <c r="L140" s="4" t="n">
        <v>0</v>
      </c>
    </row>
    <row r="141">
      <c r="A141" s="3" t="n">
        <v>134</v>
      </c>
      <c r="B141" s="3" t="inlineStr">
        <is>
          <t>4.3.20.3 Doações</t>
        </is>
      </c>
      <c r="C141" s="4" t="n">
        <v>0</v>
      </c>
      <c r="D141" s="4" t="n">
        <v>4396.86</v>
      </c>
      <c r="E141" s="4" t="n">
        <v>756.33</v>
      </c>
      <c r="F141" s="4" t="n">
        <v>0</v>
      </c>
      <c r="G141" s="4" t="n">
        <v>0</v>
      </c>
      <c r="H141" s="4" t="n">
        <v>0</v>
      </c>
      <c r="I141" s="4" t="n">
        <v>4.4</v>
      </c>
      <c r="J141" s="4" t="n">
        <v>0.76</v>
      </c>
      <c r="K141" s="4" t="n">
        <v>0</v>
      </c>
      <c r="L141" s="4" t="n">
        <v>0</v>
      </c>
    </row>
    <row r="142">
      <c r="A142" s="3" t="n">
        <v>135</v>
      </c>
      <c r="B142" s="3" t="inlineStr">
        <is>
          <t>4.3.20.4 FDA/FDNE</t>
        </is>
      </c>
      <c r="C142" s="4" t="n">
        <v>0</v>
      </c>
      <c r="D142" s="4" t="n">
        <v>14779.86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14.78</v>
      </c>
      <c r="J142" s="4" t="n">
        <v>0</v>
      </c>
      <c r="K142" s="4" t="n">
        <v>0</v>
      </c>
      <c r="L142" s="4" t="n">
        <v>0</v>
      </c>
    </row>
    <row r="143">
      <c r="A143" s="3" t="n">
        <v>136</v>
      </c>
      <c r="B143" s="3" t="inlineStr">
        <is>
          <t>4.3.20.5 Reserva de Contingência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</row>
    <row r="144">
      <c r="A144" s="3" t="n">
        <v>137</v>
      </c>
      <c r="B144" s="3" t="inlineStr">
        <is>
          <t>4.3.20.6 Ressarc. Est/Mun. Comb. Fósseis</t>
        </is>
      </c>
      <c r="C144" s="4" t="n">
        <v>0</v>
      </c>
      <c r="D144" s="4" t="n">
        <v>44.43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0.04</v>
      </c>
      <c r="J144" s="4" t="n">
        <v>0</v>
      </c>
      <c r="K144" s="4" t="n">
        <v>0</v>
      </c>
      <c r="L144" s="4" t="n">
        <v>0</v>
      </c>
    </row>
    <row r="145">
      <c r="A145" s="3" t="n">
        <v>138</v>
      </c>
      <c r="B145" s="3" t="inlineStr">
        <is>
          <t>4.4  Despesas do Poder Executivo Sujeitas à Programação Financeira</t>
        </is>
      </c>
      <c r="C145" s="4" t="n">
        <v>1269179.22</v>
      </c>
      <c r="D145" s="4" t="n">
        <v>4698738.84</v>
      </c>
      <c r="E145" s="4" t="n">
        <v>1057258.77</v>
      </c>
      <c r="F145" s="4" t="n">
        <v>1585061.9</v>
      </c>
      <c r="G145" s="4" t="n">
        <v>2026945</v>
      </c>
      <c r="H145" s="4" t="n">
        <v>1269.18</v>
      </c>
      <c r="I145" s="4" t="n">
        <v>4698.74</v>
      </c>
      <c r="J145" s="4" t="n">
        <v>1057.26</v>
      </c>
      <c r="K145" s="4" t="n">
        <v>1585.06</v>
      </c>
      <c r="L145" s="4" t="n">
        <v>2026.95</v>
      </c>
    </row>
    <row r="146">
      <c r="A146" s="3" t="n">
        <v>139</v>
      </c>
      <c r="B146" s="3" t="inlineStr">
        <is>
          <t>4.4.1 Obrigatórias com Controle de Fluxo</t>
        </is>
      </c>
      <c r="C146" s="4" t="n">
        <v>0</v>
      </c>
      <c r="D146" s="4" t="n">
        <v>1521047.43</v>
      </c>
      <c r="E146" s="4" t="n">
        <v>528978.01</v>
      </c>
      <c r="F146" s="4" t="n">
        <v>850920.97</v>
      </c>
      <c r="G146" s="4" t="n">
        <v>1307987.01</v>
      </c>
      <c r="H146" s="4" t="n">
        <v>0</v>
      </c>
      <c r="I146" s="4" t="n">
        <v>1521.05</v>
      </c>
      <c r="J146" s="4" t="n">
        <v>528.98</v>
      </c>
      <c r="K146" s="4" t="n">
        <v>850.92</v>
      </c>
      <c r="L146" s="4" t="n">
        <v>1307.99</v>
      </c>
    </row>
    <row r="147">
      <c r="A147" s="3" t="n">
        <v>140</v>
      </c>
      <c r="B147" s="3" t="inlineStr">
        <is>
          <t>4.4.1.1 Benefícios a servidores públicos</t>
        </is>
      </c>
      <c r="C147" s="4" t="n">
        <v>0</v>
      </c>
      <c r="D147" s="4" t="n">
        <v>115474.2</v>
      </c>
      <c r="E147" s="4" t="n">
        <v>53325.02</v>
      </c>
      <c r="F147" s="4" t="n">
        <v>74459.46000000001</v>
      </c>
      <c r="G147" s="4" t="n">
        <v>69757.66</v>
      </c>
      <c r="H147" s="4" t="n">
        <v>0</v>
      </c>
      <c r="I147" s="4" t="n">
        <v>115.47</v>
      </c>
      <c r="J147" s="4" t="n">
        <v>53.33</v>
      </c>
      <c r="K147" s="4" t="n">
        <v>74.45999999999999</v>
      </c>
      <c r="L147" s="4" t="n">
        <v>69.76000000000001</v>
      </c>
    </row>
    <row r="148">
      <c r="A148" s="3" t="n">
        <v>141</v>
      </c>
      <c r="B148" s="3" t="inlineStr">
        <is>
          <t>4.4.1.2 Bolsa Família e Auxílio Brasil</t>
        </is>
      </c>
      <c r="C148" s="4" t="n">
        <v>0</v>
      </c>
      <c r="D148" s="4" t="n">
        <v>346242.64</v>
      </c>
      <c r="E148" s="4" t="n">
        <v>118300.23</v>
      </c>
      <c r="F148" s="4" t="n">
        <v>214433.32</v>
      </c>
      <c r="G148" s="4" t="n">
        <v>606541.05</v>
      </c>
      <c r="H148" s="4" t="n">
        <v>0</v>
      </c>
      <c r="I148" s="4" t="n">
        <v>346.24</v>
      </c>
      <c r="J148" s="4" t="n">
        <v>118.3</v>
      </c>
      <c r="K148" s="4" t="n">
        <v>214.43</v>
      </c>
      <c r="L148" s="4" t="n">
        <v>606.54</v>
      </c>
    </row>
    <row r="149">
      <c r="A149" s="3" t="n">
        <v>142</v>
      </c>
      <c r="B149" s="3" t="inlineStr">
        <is>
          <t>4.4.1.3 Saúde</t>
        </is>
      </c>
      <c r="C149" s="4" t="n">
        <v>0</v>
      </c>
      <c r="D149" s="4" t="n">
        <v>953762.79</v>
      </c>
      <c r="E149" s="4" t="n">
        <v>319175.32</v>
      </c>
      <c r="F149" s="4" t="n">
        <v>499451.36</v>
      </c>
      <c r="G149" s="4" t="n">
        <v>567417.76</v>
      </c>
      <c r="H149" s="4" t="n">
        <v>0</v>
      </c>
      <c r="I149" s="4" t="n">
        <v>953.76</v>
      </c>
      <c r="J149" s="4" t="n">
        <v>319.18</v>
      </c>
      <c r="K149" s="4" t="n">
        <v>499.45</v>
      </c>
      <c r="L149" s="4" t="n">
        <v>567.42</v>
      </c>
    </row>
    <row r="150">
      <c r="A150" s="3" t="n">
        <v>143</v>
      </c>
      <c r="B150" s="3" t="inlineStr">
        <is>
          <t>4.4.1.4 Educação</t>
        </is>
      </c>
      <c r="C150" s="4" t="n">
        <v>0</v>
      </c>
      <c r="D150" s="4" t="n">
        <v>92319.09</v>
      </c>
      <c r="E150" s="4" t="n">
        <v>26526.49</v>
      </c>
      <c r="F150" s="4" t="n">
        <v>35092.27</v>
      </c>
      <c r="G150" s="4" t="n">
        <v>31460.98</v>
      </c>
      <c r="H150" s="4" t="n">
        <v>0</v>
      </c>
      <c r="I150" s="4" t="n">
        <v>92.31999999999999</v>
      </c>
      <c r="J150" s="4" t="n">
        <v>26.53</v>
      </c>
      <c r="K150" s="4" t="n">
        <v>35.09</v>
      </c>
      <c r="L150" s="4" t="n">
        <v>31.46</v>
      </c>
    </row>
    <row r="151">
      <c r="A151" s="3" t="n">
        <v>144</v>
      </c>
      <c r="B151" s="3" t="inlineStr">
        <is>
          <t>4.4.1.5 Demais</t>
        </is>
      </c>
      <c r="C151" s="4" t="n">
        <v>0</v>
      </c>
      <c r="D151" s="4" t="n">
        <v>13248.71</v>
      </c>
      <c r="E151" s="4" t="n">
        <v>11650.94</v>
      </c>
      <c r="F151" s="4" t="n">
        <v>27484.56</v>
      </c>
      <c r="G151" s="4" t="n">
        <v>32809.57</v>
      </c>
      <c r="H151" s="4" t="n">
        <v>0</v>
      </c>
      <c r="I151" s="4" t="n">
        <v>13.25</v>
      </c>
      <c r="J151" s="4" t="n">
        <v>11.65</v>
      </c>
      <c r="K151" s="4" t="n">
        <v>27.48</v>
      </c>
      <c r="L151" s="4" t="n">
        <v>32.81</v>
      </c>
    </row>
    <row r="152">
      <c r="A152" s="3" t="n">
        <v>145</v>
      </c>
      <c r="B152" s="3" t="inlineStr">
        <is>
          <t>4.4.2 Despesas Discricionárias</t>
        </is>
      </c>
      <c r="C152" s="4" t="n">
        <v>0</v>
      </c>
      <c r="D152" s="4" t="n">
        <v>1992486.75</v>
      </c>
      <c r="E152" s="4" t="n">
        <v>528280.76</v>
      </c>
      <c r="F152" s="4" t="n">
        <v>734140.9300000001</v>
      </c>
      <c r="G152" s="4" t="n">
        <v>718957.99</v>
      </c>
      <c r="H152" s="4" t="n">
        <v>0</v>
      </c>
      <c r="I152" s="4" t="n">
        <v>1992.49</v>
      </c>
      <c r="J152" s="4" t="n">
        <v>528.28</v>
      </c>
      <c r="K152" s="4" t="n">
        <v>734.14</v>
      </c>
      <c r="L152" s="4" t="n">
        <v>718.96</v>
      </c>
    </row>
    <row r="153">
      <c r="A153" s="3" t="n">
        <v>146</v>
      </c>
      <c r="B153" s="3" t="inlineStr">
        <is>
          <t>4.4.2.1 Saúde</t>
        </is>
      </c>
      <c r="C153" s="4" t="n">
        <v>0</v>
      </c>
      <c r="D153" s="4" t="n">
        <v>208789.13</v>
      </c>
      <c r="E153" s="4" t="n">
        <v>101319.71</v>
      </c>
      <c r="F153" s="4" t="n">
        <v>154601.66</v>
      </c>
      <c r="G153" s="4" t="n">
        <v>189950.79</v>
      </c>
      <c r="H153" s="4" t="n">
        <v>0</v>
      </c>
      <c r="I153" s="4" t="n">
        <v>208.79</v>
      </c>
      <c r="J153" s="4" t="n">
        <v>101.32</v>
      </c>
      <c r="K153" s="4" t="n">
        <v>154.6</v>
      </c>
      <c r="L153" s="4" t="n">
        <v>189.95</v>
      </c>
    </row>
    <row r="154">
      <c r="A154" s="3" t="n">
        <v>147</v>
      </c>
      <c r="B154" s="3" t="inlineStr">
        <is>
          <t>4.4.2.2 Educação</t>
        </is>
      </c>
      <c r="C154" s="4" t="n">
        <v>0</v>
      </c>
      <c r="D154" s="4" t="n">
        <v>339339.93</v>
      </c>
      <c r="E154" s="4" t="n">
        <v>103513.45</v>
      </c>
      <c r="F154" s="4" t="n">
        <v>108925.61</v>
      </c>
      <c r="G154" s="4" t="n">
        <v>127933.88</v>
      </c>
      <c r="H154" s="4" t="n">
        <v>0</v>
      </c>
      <c r="I154" s="4" t="n">
        <v>339.34</v>
      </c>
      <c r="J154" s="4" t="n">
        <v>103.51</v>
      </c>
      <c r="K154" s="4" t="n">
        <v>108.93</v>
      </c>
      <c r="L154" s="4" t="n">
        <v>127.93</v>
      </c>
    </row>
    <row r="155">
      <c r="A155" s="3" t="n">
        <v>148</v>
      </c>
      <c r="B155" s="3" t="inlineStr">
        <is>
          <t>4.4.2.3 Defesa</t>
        </is>
      </c>
      <c r="C155" s="4" t="n">
        <v>0</v>
      </c>
      <c r="D155" s="4" t="n">
        <v>207713.72</v>
      </c>
      <c r="E155" s="4" t="n">
        <v>57336.08</v>
      </c>
      <c r="F155" s="4" t="n">
        <v>75041.33</v>
      </c>
      <c r="G155" s="4" t="n">
        <v>47534.6</v>
      </c>
      <c r="H155" s="4" t="n">
        <v>0</v>
      </c>
      <c r="I155" s="4" t="n">
        <v>207.71</v>
      </c>
      <c r="J155" s="4" t="n">
        <v>57.34</v>
      </c>
      <c r="K155" s="4" t="n">
        <v>75.04000000000001</v>
      </c>
      <c r="L155" s="4" t="n">
        <v>47.53</v>
      </c>
    </row>
    <row r="156">
      <c r="A156" s="3" t="n">
        <v>149</v>
      </c>
      <c r="B156" s="3" t="inlineStr">
        <is>
          <t>4.4.2.4 Transporte</t>
        </is>
      </c>
      <c r="C156" s="4" t="n">
        <v>0</v>
      </c>
      <c r="D156" s="4" t="n">
        <v>223187.41</v>
      </c>
      <c r="E156" s="4" t="n">
        <v>44982.44</v>
      </c>
      <c r="F156" s="4" t="n">
        <v>46766.5</v>
      </c>
      <c r="G156" s="4" t="n">
        <v>55515.67</v>
      </c>
      <c r="H156" s="4" t="n">
        <v>0</v>
      </c>
      <c r="I156" s="4" t="n">
        <v>223.19</v>
      </c>
      <c r="J156" s="4" t="n">
        <v>44.98</v>
      </c>
      <c r="K156" s="4" t="n">
        <v>46.77</v>
      </c>
      <c r="L156" s="4" t="n">
        <v>55.52</v>
      </c>
    </row>
    <row r="157">
      <c r="A157" s="3" t="n">
        <v>150</v>
      </c>
      <c r="B157" s="3" t="inlineStr">
        <is>
          <t>4.4.2.5 Administração</t>
        </is>
      </c>
      <c r="C157" s="4" t="n">
        <v>0</v>
      </c>
      <c r="D157" s="4" t="n">
        <v>91239.98</v>
      </c>
      <c r="E157" s="4" t="n">
        <v>27086.88</v>
      </c>
      <c r="F157" s="4" t="n">
        <v>35271.46</v>
      </c>
      <c r="G157" s="4" t="n">
        <v>29426.67</v>
      </c>
      <c r="H157" s="4" t="n">
        <v>0</v>
      </c>
      <c r="I157" s="4" t="n">
        <v>91.23999999999999</v>
      </c>
      <c r="J157" s="4" t="n">
        <v>27.09</v>
      </c>
      <c r="K157" s="4" t="n">
        <v>35.27</v>
      </c>
      <c r="L157" s="4" t="n">
        <v>29.43</v>
      </c>
    </row>
    <row r="158">
      <c r="A158" s="3" t="n">
        <v>151</v>
      </c>
      <c r="B158" s="3" t="inlineStr">
        <is>
          <t>4.4.2.6 Ciência e Tecnologia</t>
        </is>
      </c>
      <c r="C158" s="4" t="n">
        <v>0</v>
      </c>
      <c r="D158" s="4" t="n">
        <v>86028.42999999999</v>
      </c>
      <c r="E158" s="4" t="n">
        <v>19197.18</v>
      </c>
      <c r="F158" s="4" t="n">
        <v>19993.96</v>
      </c>
      <c r="G158" s="4" t="n">
        <v>31838.15</v>
      </c>
      <c r="H158" s="4" t="n">
        <v>0</v>
      </c>
      <c r="I158" s="4" t="n">
        <v>86.03</v>
      </c>
      <c r="J158" s="4" t="n">
        <v>19.2</v>
      </c>
      <c r="K158" s="4" t="n">
        <v>19.99</v>
      </c>
      <c r="L158" s="4" t="n">
        <v>31.84</v>
      </c>
    </row>
    <row r="159">
      <c r="A159" s="3" t="n">
        <v>152</v>
      </c>
      <c r="B159" s="3" t="inlineStr">
        <is>
          <t>4.4.2.7 Segurança Pública</t>
        </is>
      </c>
      <c r="C159" s="4" t="n">
        <v>0</v>
      </c>
      <c r="D159" s="4" t="n">
        <v>40070.68</v>
      </c>
      <c r="E159" s="4" t="n">
        <v>13228.74</v>
      </c>
      <c r="F159" s="4" t="n">
        <v>17587.17</v>
      </c>
      <c r="G159" s="4" t="n">
        <v>13397.63</v>
      </c>
      <c r="H159" s="4" t="n">
        <v>0</v>
      </c>
      <c r="I159" s="4" t="n">
        <v>40.07</v>
      </c>
      <c r="J159" s="4" t="n">
        <v>13.23</v>
      </c>
      <c r="K159" s="4" t="n">
        <v>17.59</v>
      </c>
      <c r="L159" s="4" t="n">
        <v>13.4</v>
      </c>
    </row>
    <row r="160">
      <c r="A160" s="3" t="n">
        <v>153</v>
      </c>
      <c r="B160" s="3" t="inlineStr">
        <is>
          <t>4.4.2.8 Assistência Social</t>
        </is>
      </c>
      <c r="C160" s="4" t="n">
        <v>0</v>
      </c>
      <c r="D160" s="4" t="n">
        <v>61150.24</v>
      </c>
      <c r="E160" s="4" t="n">
        <v>15335.45</v>
      </c>
      <c r="F160" s="4" t="n">
        <v>19501.21</v>
      </c>
      <c r="G160" s="4" t="n">
        <v>34479.16</v>
      </c>
      <c r="H160" s="4" t="n">
        <v>0</v>
      </c>
      <c r="I160" s="4" t="n">
        <v>61.15</v>
      </c>
      <c r="J160" s="4" t="n">
        <v>15.34</v>
      </c>
      <c r="K160" s="4" t="n">
        <v>19.5</v>
      </c>
      <c r="L160" s="4" t="n">
        <v>34.48</v>
      </c>
    </row>
    <row r="161">
      <c r="A161" s="3" t="n">
        <v>154</v>
      </c>
      <c r="B161" s="3" t="inlineStr">
        <is>
          <t>4.4.2.9 Demais</t>
        </is>
      </c>
      <c r="C161" s="4" t="n">
        <v>0</v>
      </c>
      <c r="D161" s="4" t="n">
        <v>734967.24</v>
      </c>
      <c r="E161" s="4" t="n">
        <v>146280.83</v>
      </c>
      <c r="F161" s="4" t="n">
        <v>256452.04</v>
      </c>
      <c r="G161" s="4" t="n">
        <v>188881.44</v>
      </c>
      <c r="H161" s="4" t="n">
        <v>0</v>
      </c>
      <c r="I161" s="4" t="n">
        <v>734.97</v>
      </c>
      <c r="J161" s="4" t="n">
        <v>146.28</v>
      </c>
      <c r="K161" s="4" t="n">
        <v>256.45</v>
      </c>
      <c r="L161" s="4" t="n">
        <v>188.88</v>
      </c>
    </row>
    <row r="162">
      <c r="A162" s="3" t="n">
        <v>155</v>
      </c>
      <c r="B162" s="3" t="inlineStr">
        <is>
          <t>5. RESULTADO PRIMÁRIO GOVERNO CENTRAL - ACIMA DA LINHA (3 - 4)</t>
        </is>
      </c>
      <c r="C162" s="4" t="n">
        <v>476922.49</v>
      </c>
      <c r="D162" s="4" t="n">
        <v>1516885.89</v>
      </c>
      <c r="E162" s="4" t="n">
        <v>-593212.52</v>
      </c>
      <c r="F162" s="4" t="n">
        <v>-1187751.33</v>
      </c>
      <c r="G162" s="4" t="n">
        <v>-411147.66</v>
      </c>
      <c r="H162" s="4" t="n">
        <v>476.92</v>
      </c>
      <c r="I162" s="4" t="n">
        <v>1516.89</v>
      </c>
      <c r="J162" s="4" t="n">
        <v>-593.21</v>
      </c>
      <c r="K162" s="4" t="n">
        <v>-1187.75</v>
      </c>
      <c r="L162" s="4" t="n">
        <v>-411.15</v>
      </c>
    </row>
    <row r="163">
      <c r="A163" s="3" t="n">
        <v>156</v>
      </c>
      <c r="B163" s="3" t="inlineStr">
        <is>
          <t>6. AJUSTES METODOLÓGICOS</t>
        </is>
      </c>
      <c r="C163" s="4" t="n">
        <v>0</v>
      </c>
      <c r="D163" s="4" t="n">
        <v>60623.13</v>
      </c>
      <c r="E163" s="4" t="n">
        <v>21712.6</v>
      </c>
      <c r="F163" s="4" t="n">
        <v>22168.07</v>
      </c>
      <c r="G163" s="4" t="n">
        <v>-35902.68</v>
      </c>
      <c r="H163" s="4" t="n">
        <v>0</v>
      </c>
      <c r="I163" s="4" t="n">
        <v>60.62</v>
      </c>
      <c r="J163" s="4" t="n">
        <v>21.71</v>
      </c>
      <c r="K163" s="4" t="n">
        <v>22.17</v>
      </c>
      <c r="L163" s="4" t="n">
        <v>-35.9</v>
      </c>
    </row>
    <row r="164">
      <c r="A164" s="3" t="n">
        <v>157</v>
      </c>
      <c r="B164" s="3" t="inlineStr">
        <is>
          <t>6.1 Ajuste Metodológico Itaipu 9/</t>
        </is>
      </c>
      <c r="C164" s="4" t="n">
        <v>0</v>
      </c>
      <c r="D164" s="4" t="n">
        <v>56666.77</v>
      </c>
      <c r="E164" s="4" t="n">
        <v>17271.47</v>
      </c>
      <c r="F164" s="4" t="n">
        <v>9209.85</v>
      </c>
      <c r="G164" s="4" t="n">
        <v>0</v>
      </c>
      <c r="H164" s="4" t="n">
        <v>0</v>
      </c>
      <c r="I164" s="4" t="n">
        <v>56.67</v>
      </c>
      <c r="J164" s="4" t="n">
        <v>17.27</v>
      </c>
      <c r="K164" s="4" t="n">
        <v>9.210000000000001</v>
      </c>
      <c r="L164" s="4" t="n">
        <v>0</v>
      </c>
    </row>
    <row r="165">
      <c r="A165" s="3" t="n">
        <v>158</v>
      </c>
      <c r="B165" s="3" t="inlineStr">
        <is>
          <t>6.2 Ajuste Metodológico Caixa - Competência 10/</t>
        </is>
      </c>
      <c r="C165" s="4" t="n">
        <v>0</v>
      </c>
      <c r="D165" s="4" t="n">
        <v>3956.36</v>
      </c>
      <c r="E165" s="4" t="n">
        <v>4441.13</v>
      </c>
      <c r="F165" s="4" t="n">
        <v>3781.33</v>
      </c>
      <c r="G165" s="4" t="n">
        <v>2381.02</v>
      </c>
      <c r="H165" s="4" t="n">
        <v>0</v>
      </c>
      <c r="I165" s="4" t="n">
        <v>3.96</v>
      </c>
      <c r="J165" s="4" t="n">
        <v>4.44</v>
      </c>
      <c r="K165" s="4" t="n">
        <v>3.78</v>
      </c>
      <c r="L165" s="4" t="n">
        <v>2.38</v>
      </c>
    </row>
    <row r="166">
      <c r="A166" s="3" t="n">
        <v>159</v>
      </c>
      <c r="B166" s="3" t="inlineStr">
        <is>
          <t>6.3 Ajuste Metodológico Recursos Não Sacados do PIS/PASEP (EC nº 126/2022) 11/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-29631.27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-29.63</v>
      </c>
    </row>
    <row r="167">
      <c r="A167" s="3" t="n">
        <v>160</v>
      </c>
      <c r="B167" s="3" t="inlineStr">
        <is>
          <t>6.4 Ajuste Metodológico Compensações LC nº 194/2022 (pré-Acordo União e Estados/Distrito Federal) 12/</t>
        </is>
      </c>
      <c r="C167" s="4" t="n">
        <v>0</v>
      </c>
      <c r="D167" s="4" t="n">
        <v>0</v>
      </c>
      <c r="E167" s="4" t="n">
        <v>0</v>
      </c>
      <c r="F167" s="4" t="n">
        <v>9176.889999999999</v>
      </c>
      <c r="G167" s="4" t="n">
        <v>-8652.43</v>
      </c>
      <c r="H167" s="4" t="n">
        <v>0</v>
      </c>
      <c r="I167" s="4" t="n">
        <v>0</v>
      </c>
      <c r="J167" s="4" t="n">
        <v>0</v>
      </c>
      <c r="K167" s="4" t="n">
        <v>9.18</v>
      </c>
      <c r="L167" s="4" t="n">
        <v>-8.65</v>
      </c>
    </row>
    <row r="168">
      <c r="A168" s="3" t="n">
        <v>161</v>
      </c>
      <c r="B168" s="3" t="inlineStr">
        <is>
          <t xml:space="preserve">7. DISCREPÂNCIA ESTATÍSTICA </t>
        </is>
      </c>
      <c r="C168" s="4" t="n">
        <v>-22558.52</v>
      </c>
      <c r="D168" s="4" t="n">
        <v>9751.98</v>
      </c>
      <c r="E168" s="4" t="n">
        <v>-8295.26</v>
      </c>
      <c r="F168" s="4" t="n">
        <v>-6590.52</v>
      </c>
      <c r="G168" s="4" t="n">
        <v>-4481.9</v>
      </c>
      <c r="H168" s="4" t="n">
        <v>-22.56</v>
      </c>
      <c r="I168" s="4" t="n">
        <v>9.75</v>
      </c>
      <c r="J168" s="4" t="n">
        <v>-8.300000000000001</v>
      </c>
      <c r="K168" s="4" t="n">
        <v>-6.59</v>
      </c>
      <c r="L168" s="4" t="n">
        <v>-4.48</v>
      </c>
    </row>
    <row r="169">
      <c r="A169" s="3" t="n">
        <v>162</v>
      </c>
      <c r="B169" s="3" t="inlineStr">
        <is>
          <t>8. RESULTADO PRIMÁRIO DO GOVERNO CENTRAL - ABAIXO DA LINHA (5 + 6 + 7)</t>
        </is>
      </c>
      <c r="C169" s="4" t="n">
        <v>454363.97</v>
      </c>
      <c r="D169" s="4" t="n">
        <v>1587261</v>
      </c>
      <c r="E169" s="4" t="n">
        <v>-579795.1800000001</v>
      </c>
      <c r="F169" s="4" t="n">
        <v>-1172173.78</v>
      </c>
      <c r="G169" s="4" t="n">
        <v>-398275.59</v>
      </c>
      <c r="H169" s="4" t="n">
        <v>454.36</v>
      </c>
      <c r="I169" s="4" t="n">
        <v>1587.26</v>
      </c>
      <c r="J169" s="4" t="n">
        <v>-579.8</v>
      </c>
      <c r="K169" s="4" t="n">
        <v>-1172.17</v>
      </c>
      <c r="L169" s="4" t="n">
        <v>-398.28</v>
      </c>
    </row>
    <row r="170">
      <c r="A170" s="3" t="n">
        <v>163</v>
      </c>
      <c r="B170" s="3" t="inlineStr">
        <is>
          <t>9. JUROS NOMINAIS 13/</t>
        </is>
      </c>
      <c r="C170" s="4" t="n">
        <v>-1199875.96</v>
      </c>
      <c r="D170" s="4" t="n">
        <v>-5169425.69</v>
      </c>
      <c r="E170" s="4" t="n">
        <v>-1344829.7</v>
      </c>
      <c r="F170" s="4" t="n">
        <v>-1964505.33</v>
      </c>
      <c r="G170" s="4" t="n">
        <v>-2900281.36</v>
      </c>
      <c r="H170" s="4" t="n">
        <v>-1199.88</v>
      </c>
      <c r="I170" s="4" t="n">
        <v>-5169.43</v>
      </c>
      <c r="J170" s="4" t="n">
        <v>-1344.83</v>
      </c>
      <c r="K170" s="4" t="n">
        <v>-1964.51</v>
      </c>
      <c r="L170" s="4" t="n">
        <v>-2900.28</v>
      </c>
    </row>
    <row r="171">
      <c r="A171" s="3" t="n">
        <v>164</v>
      </c>
      <c r="B171" s="3" t="inlineStr">
        <is>
          <t>10. RESULTADO NOMINAL DO GOVERNO CENTRAL (8 + 9) 14/</t>
        </is>
      </c>
      <c r="C171" s="4" t="n">
        <v>-745511.98</v>
      </c>
      <c r="D171" s="4" t="n">
        <v>-3582164.69</v>
      </c>
      <c r="E171" s="4" t="n">
        <v>-1924624.87</v>
      </c>
      <c r="F171" s="4" t="n">
        <v>-3136679.11</v>
      </c>
      <c r="G171" s="4" t="n">
        <v>-3298556.95</v>
      </c>
      <c r="H171" s="4" t="n">
        <v>-745.51</v>
      </c>
      <c r="I171" s="4" t="n">
        <v>-3582.16</v>
      </c>
      <c r="J171" s="4" t="n">
        <v>-1924.62</v>
      </c>
      <c r="K171" s="4" t="n">
        <v>-3136.68</v>
      </c>
      <c r="L171" s="4" t="n">
        <v>-3298.56</v>
      </c>
    </row>
    <row r="172">
      <c r="A172" s="3" t="n">
        <v>165</v>
      </c>
      <c r="B172" s="3" t="n"/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</row>
    <row r="173">
      <c r="A173" s="3" t="n">
        <v>166</v>
      </c>
      <c r="B173" s="3" t="inlineStr">
        <is>
          <t>Memorando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</row>
    <row r="174">
      <c r="A174" s="3" t="n">
        <v>167</v>
      </c>
      <c r="B174" s="3" t="inlineStr">
        <is>
          <t>Arrecadação Líquida para o RGPS</t>
        </is>
      </c>
      <c r="C174" s="4" t="n">
        <v>1543617.32</v>
      </c>
      <c r="D174" s="4" t="n">
        <v>6420313.4</v>
      </c>
      <c r="E174" s="4" t="n">
        <v>1531905.52</v>
      </c>
      <c r="F174" s="4" t="n">
        <v>2423966.97</v>
      </c>
      <c r="G174" s="4" t="n">
        <v>2431431.54</v>
      </c>
      <c r="H174" s="4" t="n">
        <v>1543.62</v>
      </c>
      <c r="I174" s="4" t="n">
        <v>6420.31</v>
      </c>
      <c r="J174" s="4" t="n">
        <v>1531.91</v>
      </c>
      <c r="K174" s="4" t="n">
        <v>2423.97</v>
      </c>
      <c r="L174" s="4" t="n">
        <v>2431.43</v>
      </c>
    </row>
    <row r="175">
      <c r="A175" s="3" t="n">
        <v>168</v>
      </c>
      <c r="B175" s="3" t="inlineStr">
        <is>
          <t>Arrecadação Ordinária</t>
        </is>
      </c>
      <c r="C175" s="4" t="n">
        <v>1543617.32</v>
      </c>
      <c r="D175" s="4" t="n">
        <v>6301666.42</v>
      </c>
      <c r="E175" s="4" t="n">
        <v>1477184.49</v>
      </c>
      <c r="F175" s="4" t="n">
        <v>2382311.57</v>
      </c>
      <c r="G175" s="4" t="n">
        <v>2431431.54</v>
      </c>
      <c r="H175" s="4" t="n">
        <v>1543.62</v>
      </c>
      <c r="I175" s="4" t="n">
        <v>6301.67</v>
      </c>
      <c r="J175" s="4" t="n">
        <v>1477.18</v>
      </c>
      <c r="K175" s="4" t="n">
        <v>2382.31</v>
      </c>
      <c r="L175" s="4" t="n">
        <v>2431.43</v>
      </c>
    </row>
    <row r="176">
      <c r="A176" s="3" t="n">
        <v>169</v>
      </c>
      <c r="B176" s="3" t="inlineStr">
        <is>
          <t>Compensação ao RGPS pelas Desonerações da Folha</t>
        </is>
      </c>
      <c r="C176" s="4" t="n">
        <v>0</v>
      </c>
      <c r="D176" s="4" t="n">
        <v>118646.97</v>
      </c>
      <c r="E176" s="4" t="n">
        <v>54721.03</v>
      </c>
      <c r="F176" s="4" t="n">
        <v>41655.4</v>
      </c>
      <c r="G176" s="4" t="n">
        <v>0</v>
      </c>
      <c r="H176" s="4" t="n">
        <v>0</v>
      </c>
      <c r="I176" s="4" t="n">
        <v>118.65</v>
      </c>
      <c r="J176" s="4" t="n">
        <v>54.72</v>
      </c>
      <c r="K176" s="4" t="n">
        <v>41.66</v>
      </c>
      <c r="L176" s="4" t="n">
        <v>0</v>
      </c>
    </row>
    <row r="177">
      <c r="A177" s="3" t="n">
        <v>170</v>
      </c>
      <c r="B177" s="3" t="n"/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</row>
    <row r="178">
      <c r="A178" s="3" t="n">
        <v>171</v>
      </c>
      <c r="B178" s="3" t="inlineStr">
        <is>
          <t>Custeio Administrativo</t>
        </is>
      </c>
      <c r="C178" s="4" t="n">
        <v>0</v>
      </c>
      <c r="D178" s="4" t="n">
        <v>412246.2</v>
      </c>
      <c r="E178" s="4" t="n">
        <v>193142.23</v>
      </c>
      <c r="F178" s="4" t="n">
        <v>253616.05</v>
      </c>
      <c r="G178" s="4" t="n">
        <v>231077.75</v>
      </c>
      <c r="H178" s="4" t="n">
        <v>0</v>
      </c>
      <c r="I178" s="4" t="n">
        <v>412.25</v>
      </c>
      <c r="J178" s="4" t="n">
        <v>193.14</v>
      </c>
      <c r="K178" s="4" t="n">
        <v>253.62</v>
      </c>
      <c r="L178" s="4" t="n">
        <v>231.08</v>
      </c>
    </row>
    <row r="179">
      <c r="A179" s="3" t="n">
        <v>172</v>
      </c>
      <c r="B179" s="3" t="inlineStr">
        <is>
          <t>Investimento</t>
        </is>
      </c>
      <c r="C179" s="4" t="n">
        <v>0</v>
      </c>
      <c r="D179" s="4" t="n">
        <v>939827.64</v>
      </c>
      <c r="E179" s="4" t="n">
        <v>219957.88</v>
      </c>
      <c r="F179" s="4" t="n">
        <v>357701.32</v>
      </c>
      <c r="G179" s="4" t="n">
        <v>315797.58</v>
      </c>
      <c r="H179" s="4" t="n">
        <v>0</v>
      </c>
      <c r="I179" s="4" t="n">
        <v>939.83</v>
      </c>
      <c r="J179" s="4" t="n">
        <v>219.96</v>
      </c>
      <c r="K179" s="4" t="n">
        <v>357.7</v>
      </c>
      <c r="L179" s="4" t="n">
        <v>315.8</v>
      </c>
    </row>
    <row r="180">
      <c r="A180" s="3" t="n">
        <v>173</v>
      </c>
      <c r="B180" s="3" t="n"/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</row>
    <row r="181">
      <c r="A181" s="3" t="n">
        <v>174</v>
      </c>
      <c r="B181" s="3" t="inlineStr">
        <is>
          <t>PAC 15/</t>
        </is>
      </c>
      <c r="C181" s="4" t="n">
        <v>0</v>
      </c>
      <c r="D181" s="4" t="n">
        <v>615594.97</v>
      </c>
      <c r="E181" s="4" t="n">
        <v>129370.49</v>
      </c>
      <c r="F181" s="4" t="n">
        <v>39433.7</v>
      </c>
      <c r="G181" s="4" t="n">
        <v>0</v>
      </c>
      <c r="H181" s="4" t="n">
        <v>0</v>
      </c>
      <c r="I181" s="4" t="n">
        <v>615.59</v>
      </c>
      <c r="J181" s="4" t="n">
        <v>129.37</v>
      </c>
      <c r="K181" s="4" t="n">
        <v>39.43</v>
      </c>
      <c r="L181" s="4" t="n">
        <v>0</v>
      </c>
    </row>
    <row r="182">
      <c r="A182" s="3" t="n">
        <v>175</v>
      </c>
      <c r="B182" s="3" t="inlineStr">
        <is>
          <t>Minha Casa Minha Vida 17/</t>
        </is>
      </c>
      <c r="C182" s="4" t="n">
        <v>0</v>
      </c>
      <c r="D182" s="4" t="n">
        <v>153908.14</v>
      </c>
      <c r="E182" s="4" t="n">
        <v>21256.01</v>
      </c>
      <c r="F182" s="4" t="n">
        <v>13057.4</v>
      </c>
      <c r="G182" s="4" t="n">
        <v>34306.61</v>
      </c>
      <c r="H182" s="4" t="n">
        <v>0</v>
      </c>
      <c r="I182" s="4" t="n">
        <v>153.91</v>
      </c>
      <c r="J182" s="4" t="n">
        <v>21.26</v>
      </c>
      <c r="K182" s="4" t="n">
        <v>13.06</v>
      </c>
      <c r="L182" s="4" t="n">
        <v>34.31</v>
      </c>
    </row>
    <row r="183">
      <c r="A183" s="3" t="n">
        <v>176</v>
      </c>
      <c r="B183" s="3" t="n"/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</row>
    <row r="184">
      <c r="A184" s="3" t="n">
        <v>177</v>
      </c>
      <c r="B184" s="3" t="inlineStr">
        <is>
          <t>Fundo Soberano do Brasil</t>
        </is>
      </c>
      <c r="C184" s="4" t="n">
        <v>0</v>
      </c>
      <c r="D184" s="4" t="n">
        <v>-9866.99</v>
      </c>
      <c r="E184" s="4" t="n">
        <v>6156.81</v>
      </c>
      <c r="F184" s="4" t="n">
        <v>0</v>
      </c>
      <c r="G184" s="4" t="n">
        <v>0</v>
      </c>
      <c r="H184" s="4" t="n">
        <v>0</v>
      </c>
      <c r="I184" s="4" t="n">
        <v>-9.869999999999999</v>
      </c>
      <c r="J184" s="4" t="n">
        <v>6.16</v>
      </c>
      <c r="K184" s="4" t="n">
        <v>0</v>
      </c>
      <c r="L184" s="4" t="n">
        <v>0</v>
      </c>
    </row>
  </sheetData>
  <autoFilter ref="A12:L1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2" max="2"/>
    <col width="22" customWidth="1" min="8" max="8"/>
  </cols>
  <sheetData>
    <row r="1">
      <c r="A1" s="1" t="inlineStr">
        <is>
          <t>Períodos e intervalos de colunas</t>
        </is>
      </c>
    </row>
    <row r="3">
      <c r="A3" s="1" t="inlineStr">
        <is>
          <t>#</t>
        </is>
      </c>
      <c r="B3" s="1" t="inlineStr">
        <is>
          <t>periodo</t>
        </is>
      </c>
      <c r="C3" s="1" t="inlineStr">
        <is>
          <t>inicio</t>
        </is>
      </c>
      <c r="D3" s="1" t="inlineStr">
        <is>
          <t>fim</t>
        </is>
      </c>
      <c r="E3" s="1" t="inlineStr">
        <is>
          <t>meses</t>
        </is>
      </c>
      <c r="F3" s="1" t="inlineStr">
        <is>
          <t>col_ini</t>
        </is>
      </c>
      <c r="G3" s="1" t="inlineStr">
        <is>
          <t>col_fim</t>
        </is>
      </c>
      <c r="H3" s="1" t="inlineStr">
        <is>
          <t>formula_linha6</t>
        </is>
      </c>
    </row>
    <row r="4">
      <c r="A4" t="n">
        <v>1</v>
      </c>
      <c r="B4" t="inlineStr">
        <is>
          <t>jan/97–dez/02</t>
        </is>
      </c>
      <c r="C4" t="inlineStr">
        <is>
          <t>1997-01</t>
        </is>
      </c>
      <c r="D4" t="inlineStr">
        <is>
          <t>2002-12</t>
        </is>
      </c>
      <c r="E4" t="n">
        <v>72</v>
      </c>
      <c r="F4" t="inlineStr">
        <is>
          <t>B</t>
        </is>
      </c>
      <c r="G4" t="inlineStr">
        <is>
          <t>BU</t>
        </is>
      </c>
      <c r="H4">
        <f>SUM(B6:BU6)</f>
        <v/>
      </c>
    </row>
    <row r="5">
      <c r="A5" t="n">
        <v>2</v>
      </c>
      <c r="B5" t="inlineStr">
        <is>
          <t>jan/03–mai/16</t>
        </is>
      </c>
      <c r="C5" t="inlineStr">
        <is>
          <t>2003-01</t>
        </is>
      </c>
      <c r="D5" t="inlineStr">
        <is>
          <t>2016-05</t>
        </is>
      </c>
      <c r="E5" t="n">
        <v>161</v>
      </c>
      <c r="F5" t="inlineStr">
        <is>
          <t>BV</t>
        </is>
      </c>
      <c r="G5" t="inlineStr">
        <is>
          <t>HZ</t>
        </is>
      </c>
      <c r="H5">
        <f>SUM(BV6:HZ6)</f>
        <v/>
      </c>
    </row>
    <row r="6">
      <c r="A6" t="n">
        <v>3</v>
      </c>
      <c r="B6" t="inlineStr">
        <is>
          <t>jun/16–dez/18</t>
        </is>
      </c>
      <c r="C6" t="inlineStr">
        <is>
          <t>2016-06</t>
        </is>
      </c>
      <c r="D6" t="inlineStr">
        <is>
          <t>2018-12</t>
        </is>
      </c>
      <c r="E6" t="n">
        <v>31</v>
      </c>
      <c r="F6" t="inlineStr">
        <is>
          <t>IA</t>
        </is>
      </c>
      <c r="G6" t="inlineStr">
        <is>
          <t>JE</t>
        </is>
      </c>
      <c r="H6">
        <f>SUM(IA6:JE6)</f>
        <v/>
      </c>
    </row>
    <row r="7">
      <c r="A7" t="n">
        <v>4</v>
      </c>
      <c r="B7" t="inlineStr">
        <is>
          <t>jan/19–dez/22</t>
        </is>
      </c>
      <c r="C7" t="inlineStr">
        <is>
          <t>2019-01</t>
        </is>
      </c>
      <c r="D7" t="inlineStr">
        <is>
          <t>2022-12</t>
        </is>
      </c>
      <c r="E7" t="n">
        <v>48</v>
      </c>
      <c r="F7" t="inlineStr">
        <is>
          <t>JF</t>
        </is>
      </c>
      <c r="G7" t="inlineStr">
        <is>
          <t>LA</t>
        </is>
      </c>
      <c r="H7">
        <f>SUM(JF6:LA6)</f>
        <v/>
      </c>
    </row>
    <row r="8">
      <c r="A8" t="n">
        <v>5</v>
      </c>
      <c r="B8" t="inlineStr">
        <is>
          <t>jan/23–mai/26</t>
        </is>
      </c>
      <c r="C8" t="inlineStr">
        <is>
          <t>2023-01</t>
        </is>
      </c>
      <c r="D8" t="inlineStr">
        <is>
          <t>2026-05</t>
        </is>
      </c>
      <c r="E8" t="n">
        <v>41</v>
      </c>
      <c r="F8" t="inlineStr">
        <is>
          <t>LB</t>
        </is>
      </c>
      <c r="G8" t="inlineStr">
        <is>
          <t>MP</t>
        </is>
      </c>
      <c r="H8">
        <f>SUM(LB6:MP6)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2026-07-27T21:55:40Z</dcterms:created>
  <dcterms:modified xsi:type="dcterms:W3CDTF">2026-07-27T21:55:40Z</dcterms:modified>
</cp:coreProperties>
</file>